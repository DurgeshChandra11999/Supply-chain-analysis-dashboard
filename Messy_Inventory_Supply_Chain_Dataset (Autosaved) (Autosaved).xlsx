
<file path=[Content_Types].xml><?xml version="1.0" encoding="utf-8"?>
<Types xmlns="http://schemas.openxmlformats.org/package/2006/content-types">
  <Default Extension="bin" ContentType="application/vnd.openxmlformats-officedocument.spreadsheetml.printerSettings"/>
  <Default Extension="png" ContentType="image/png"/>
  <Default Extension="webp"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0490" windowHeight="7755" activeTab="1"/>
  </bookViews>
  <sheets>
    <sheet name="Analysis" sheetId="2" r:id="rId1"/>
    <sheet name="Dashboard" sheetId="4" r:id="rId2"/>
    <sheet name="Messy Raw Data" sheetId="1" r:id="rId3"/>
  </sheets>
  <definedNames>
    <definedName name="_xlnm._FilterDatabase" localSheetId="2" hidden="1">'Messy Raw Data'!$A$1:$P$301</definedName>
    <definedName name="Slicer_clean_date">#N/A</definedName>
    <definedName name="Slicer_Region">#N/A</definedName>
    <definedName name="Slicer_Warehous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2" i="1"/>
  <c r="S15" i="1" l="1"/>
  <c r="S11" i="1"/>
  <c r="S7" i="1"/>
  <c r="S3" i="1"/>
  <c r="S19" i="1" s="1"/>
</calcChain>
</file>

<file path=xl/sharedStrings.xml><?xml version="1.0" encoding="utf-8"?>
<sst xmlns="http://schemas.openxmlformats.org/spreadsheetml/2006/main" count="2496" uniqueCount="434">
  <si>
    <t>Order ID</t>
  </si>
  <si>
    <t>Product ID</t>
  </si>
  <si>
    <t>Product Name</t>
  </si>
  <si>
    <t>Category</t>
  </si>
  <si>
    <t>Supplier</t>
  </si>
  <si>
    <t>Warehouse</t>
  </si>
  <si>
    <t>Region</t>
  </si>
  <si>
    <t>Quantity Ordered</t>
  </si>
  <si>
    <t>Quantity Sold</t>
  </si>
  <si>
    <t>Unit Cost</t>
  </si>
  <si>
    <t>Unit Price</t>
  </si>
  <si>
    <t>Current Stock</t>
  </si>
  <si>
    <t>Reorder Level</t>
  </si>
  <si>
    <t>Lead Time (Days)</t>
  </si>
  <si>
    <t>Order Status</t>
  </si>
  <si>
    <t>ORD0001</t>
  </si>
  <si>
    <t>P011</t>
  </si>
  <si>
    <t>Notebook</t>
  </si>
  <si>
    <t>Stationery</t>
  </si>
  <si>
    <t>PaperPlus</t>
  </si>
  <si>
    <t>Delhi</t>
  </si>
  <si>
    <t>North</t>
  </si>
  <si>
    <t>Delivered</t>
  </si>
  <si>
    <t>ORD0002</t>
  </si>
  <si>
    <t>P017</t>
  </si>
  <si>
    <t>Power Bank</t>
  </si>
  <si>
    <t>Accessories</t>
  </si>
  <si>
    <t>PowerTech</t>
  </si>
  <si>
    <t>ORD0003</t>
  </si>
  <si>
    <t>P002</t>
  </si>
  <si>
    <t>Wireless Mouse</t>
  </si>
  <si>
    <t>Electronics</t>
  </si>
  <si>
    <t>TechSupply</t>
  </si>
  <si>
    <t>Patna</t>
  </si>
  <si>
    <t>East</t>
  </si>
  <si>
    <t>ORD0004</t>
  </si>
  <si>
    <t>ORD0005</t>
  </si>
  <si>
    <t>P004</t>
  </si>
  <si>
    <t>Monitor</t>
  </si>
  <si>
    <t>DisplayPro</t>
  </si>
  <si>
    <t>ORD0006</t>
  </si>
  <si>
    <t>P018</t>
  </si>
  <si>
    <t>Filing Cabinet</t>
  </si>
  <si>
    <t>Furniture</t>
  </si>
  <si>
    <t>OfficeStore</t>
  </si>
  <si>
    <t>Mumbai</t>
  </si>
  <si>
    <t>West</t>
  </si>
  <si>
    <t>ORD0007</t>
  </si>
  <si>
    <t>P008</t>
  </si>
  <si>
    <t>USB Cable</t>
  </si>
  <si>
    <t>CableHub</t>
  </si>
  <si>
    <t>In Transit</t>
  </si>
  <si>
    <t>ORD0008</t>
  </si>
  <si>
    <t>P020</t>
  </si>
  <si>
    <t>Whiteboard</t>
  </si>
  <si>
    <t>ORD0009</t>
  </si>
  <si>
    <t>P014</t>
  </si>
  <si>
    <t>Backpack</t>
  </si>
  <si>
    <t>BagZone</t>
  </si>
  <si>
    <t>ORD0010</t>
  </si>
  <si>
    <t>P003</t>
  </si>
  <si>
    <t>Keyboard</t>
  </si>
  <si>
    <t>ORD0011</t>
  </si>
  <si>
    <t>P010</t>
  </si>
  <si>
    <t>Webcam</t>
  </si>
  <si>
    <t>VisionTech</t>
  </si>
  <si>
    <t>ORD0012</t>
  </si>
  <si>
    <t>ORD0013</t>
  </si>
  <si>
    <t>P013</t>
  </si>
  <si>
    <t>Desk Lamp</t>
  </si>
  <si>
    <t xml:space="preserve"> LightHouse  </t>
  </si>
  <si>
    <t>Kolkata</t>
  </si>
  <si>
    <t>Cancelled</t>
  </si>
  <si>
    <t>ORD0014</t>
  </si>
  <si>
    <t>ORD0015</t>
  </si>
  <si>
    <t>P009</t>
  </si>
  <si>
    <t>Headphones</t>
  </si>
  <si>
    <t>AudioWorld</t>
  </si>
  <si>
    <t>ORD0016</t>
  </si>
  <si>
    <t>ORD0017</t>
  </si>
  <si>
    <t>LightHouse</t>
  </si>
  <si>
    <t>ORD0018</t>
  </si>
  <si>
    <t>ORD0019</t>
  </si>
  <si>
    <t>P007</t>
  </si>
  <si>
    <t>Printer</t>
  </si>
  <si>
    <t>Electonic</t>
  </si>
  <si>
    <t>PrintMax</t>
  </si>
  <si>
    <t>ORD0020</t>
  </si>
  <si>
    <t>P016</t>
  </si>
  <si>
    <t>Router</t>
  </si>
  <si>
    <t>NetConnect</t>
  </si>
  <si>
    <t>ORD0021</t>
  </si>
  <si>
    <t>ORD0022</t>
  </si>
  <si>
    <t>Pending</t>
  </si>
  <si>
    <t>ORD0023</t>
  </si>
  <si>
    <t>ORD0024</t>
  </si>
  <si>
    <t>MUMBAI</t>
  </si>
  <si>
    <t>ORD0025</t>
  </si>
  <si>
    <t>ORD0026</t>
  </si>
  <si>
    <t>ORD0027</t>
  </si>
  <si>
    <t>ORD0028</t>
  </si>
  <si>
    <t xml:space="preserve">Delivered </t>
  </si>
  <si>
    <t>ORD0029</t>
  </si>
  <si>
    <t>P001</t>
  </si>
  <si>
    <t>Laptop</t>
  </si>
  <si>
    <t>ORD0030</t>
  </si>
  <si>
    <t>P005</t>
  </si>
  <si>
    <t>Office Chair</t>
  </si>
  <si>
    <t>ComfortWorks</t>
  </si>
  <si>
    <t>ORD0031</t>
  </si>
  <si>
    <t>ORD0032</t>
  </si>
  <si>
    <t>patna</t>
  </si>
  <si>
    <t>ORD0033</t>
  </si>
  <si>
    <t>ORD0034</t>
  </si>
  <si>
    <t>ORD0035</t>
  </si>
  <si>
    <t>ORD0036</t>
  </si>
  <si>
    <t>ORD0037</t>
  </si>
  <si>
    <t>ORD0038</t>
  </si>
  <si>
    <t>ORD0039</t>
  </si>
  <si>
    <t>ORD0040</t>
  </si>
  <si>
    <t>ORD0041</t>
  </si>
  <si>
    <t>ORD0042</t>
  </si>
  <si>
    <t>P015</t>
  </si>
  <si>
    <t>External SSD</t>
  </si>
  <si>
    <t>StoragePro</t>
  </si>
  <si>
    <t>ORD0043</t>
  </si>
  <si>
    <t>ORD0044</t>
  </si>
  <si>
    <t>ORD0045</t>
  </si>
  <si>
    <t>ORD0046</t>
  </si>
  <si>
    <t>ORD0047</t>
  </si>
  <si>
    <t>ORD0048</t>
  </si>
  <si>
    <t xml:space="preserve"> VisionTech  </t>
  </si>
  <si>
    <t>ORD0049</t>
  </si>
  <si>
    <t>ORD0050</t>
  </si>
  <si>
    <t>ORD0051</t>
  </si>
  <si>
    <t>ORD0052</t>
  </si>
  <si>
    <t>ORD0053</t>
  </si>
  <si>
    <t>ORD0054</t>
  </si>
  <si>
    <t>ORD0055</t>
  </si>
  <si>
    <t>ORD0056</t>
  </si>
  <si>
    <t>in transit</t>
  </si>
  <si>
    <t>ORD0057</t>
  </si>
  <si>
    <t>ORD0058</t>
  </si>
  <si>
    <t>ORD0059</t>
  </si>
  <si>
    <t>ORD0060</t>
  </si>
  <si>
    <t>ORD0061</t>
  </si>
  <si>
    <t>ORD0062</t>
  </si>
  <si>
    <t>ORD0063</t>
  </si>
  <si>
    <t>Stationary</t>
  </si>
  <si>
    <t>ORD0064</t>
  </si>
  <si>
    <t>ORD0065</t>
  </si>
  <si>
    <t>ORD0066</t>
  </si>
  <si>
    <t>ORD0067</t>
  </si>
  <si>
    <t>ORD0068</t>
  </si>
  <si>
    <t>ORD0069</t>
  </si>
  <si>
    <t>ORD0070</t>
  </si>
  <si>
    <t>ORD0071</t>
  </si>
  <si>
    <t>ORD0072</t>
  </si>
  <si>
    <t>ORD0073</t>
  </si>
  <si>
    <t>ORD0074</t>
  </si>
  <si>
    <t>ORD0075</t>
  </si>
  <si>
    <t>ORD0076</t>
  </si>
  <si>
    <t>ORD0077</t>
  </si>
  <si>
    <t>DELHI</t>
  </si>
  <si>
    <t>ORD0078</t>
  </si>
  <si>
    <t>ORD0079</t>
  </si>
  <si>
    <t>ORD0080</t>
  </si>
  <si>
    <t>ORD0081</t>
  </si>
  <si>
    <t>ORD0082</t>
  </si>
  <si>
    <t>ORD0083</t>
  </si>
  <si>
    <t>ORD0084</t>
  </si>
  <si>
    <t>ORD0085</t>
  </si>
  <si>
    <t xml:space="preserve"> Webcam</t>
  </si>
  <si>
    <t>ORD0086</t>
  </si>
  <si>
    <t>ORD0087</t>
  </si>
  <si>
    <t>ORD0088</t>
  </si>
  <si>
    <t>ORD0089</t>
  </si>
  <si>
    <t xml:space="preserve"> BagZone  </t>
  </si>
  <si>
    <t>ORD0090</t>
  </si>
  <si>
    <t>ORD0091</t>
  </si>
  <si>
    <t>ORD0092</t>
  </si>
  <si>
    <t>ORD0093</t>
  </si>
  <si>
    <t>ORD0094</t>
  </si>
  <si>
    <t>ORD0095</t>
  </si>
  <si>
    <t>ORD0096</t>
  </si>
  <si>
    <t>P012</t>
  </si>
  <si>
    <t>Pen Pack</t>
  </si>
  <si>
    <t>ORD0097</t>
  </si>
  <si>
    <t>ORD0098</t>
  </si>
  <si>
    <t>ORD0099</t>
  </si>
  <si>
    <t>ORD0100</t>
  </si>
  <si>
    <t>ORD0101</t>
  </si>
  <si>
    <t>ORD0102</t>
  </si>
  <si>
    <t>ORD0103</t>
  </si>
  <si>
    <t>P006</t>
  </si>
  <si>
    <t>Office Desk</t>
  </si>
  <si>
    <t>ORD0104</t>
  </si>
  <si>
    <t>ORD0105</t>
  </si>
  <si>
    <t>delhi</t>
  </si>
  <si>
    <t>ORD0106</t>
  </si>
  <si>
    <t>ORD0107</t>
  </si>
  <si>
    <t>ORD0108</t>
  </si>
  <si>
    <t>ORD0109</t>
  </si>
  <si>
    <t>ORD0110</t>
  </si>
  <si>
    <t>ORD0111</t>
  </si>
  <si>
    <t>ORD0112</t>
  </si>
  <si>
    <t>ORD0113</t>
  </si>
  <si>
    <t>ORD0114</t>
  </si>
  <si>
    <t>ORD0115</t>
  </si>
  <si>
    <t>ORD0116</t>
  </si>
  <si>
    <t>ORD0117</t>
  </si>
  <si>
    <t>ORD0118</t>
  </si>
  <si>
    <t>ORD0119</t>
  </si>
  <si>
    <t>ORD0120</t>
  </si>
  <si>
    <t>ORD0121</t>
  </si>
  <si>
    <t>P019</t>
  </si>
  <si>
    <t>Stapler</t>
  </si>
  <si>
    <t>ORD0122</t>
  </si>
  <si>
    <t>ORD0123</t>
  </si>
  <si>
    <t>ORD0124</t>
  </si>
  <si>
    <t>ORD0125</t>
  </si>
  <si>
    <t>ORD0126</t>
  </si>
  <si>
    <t>ORD0127</t>
  </si>
  <si>
    <t>ORD0128</t>
  </si>
  <si>
    <t>ORD0129</t>
  </si>
  <si>
    <t>ORD0130</t>
  </si>
  <si>
    <t>ORD0131</t>
  </si>
  <si>
    <t>ORD0132</t>
  </si>
  <si>
    <t>ORD0133</t>
  </si>
  <si>
    <t>ORD0134</t>
  </si>
  <si>
    <t>PATNA</t>
  </si>
  <si>
    <t>ORD0135</t>
  </si>
  <si>
    <t>ORD0136</t>
  </si>
  <si>
    <t>ORD0137</t>
  </si>
  <si>
    <t>ORD0138</t>
  </si>
  <si>
    <t>ORD0139</t>
  </si>
  <si>
    <t>ORD0140</t>
  </si>
  <si>
    <t>ORD0141</t>
  </si>
  <si>
    <t>ORD0142</t>
  </si>
  <si>
    <t>ORD0143</t>
  </si>
  <si>
    <t>ORD0144</t>
  </si>
  <si>
    <t>ORD0145</t>
  </si>
  <si>
    <t>ORD0146</t>
  </si>
  <si>
    <t xml:space="preserve"> ComfortWorks  </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</si>
  <si>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</si>
  <si>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</si>
  <si>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</si>
  <si>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</si>
  <si>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</si>
  <si>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</si>
  <si>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</si>
  <si>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</si>
  <si>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</si>
  <si>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</si>
  <si>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</si>
  <si>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</si>
  <si>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</si>
  <si>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</si>
  <si>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</si>
  <si>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</si>
  <si>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</si>
  <si>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</si>
  <si>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</si>
  <si>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</si>
  <si>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</si>
  <si>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</si>
  <si>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</si>
  <si>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</si>
  <si>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</si>
  <si>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</si>
  <si>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</si>
  <si>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</si>
  <si>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 xml:space="preserve"> Whiteboard</t>
  </si>
  <si>
    <t>ORD0175</t>
  </si>
  <si>
    <t>ORD0176</t>
  </si>
  <si>
    <t>ORD0177</t>
  </si>
  <si>
    <t>ORD0178</t>
  </si>
  <si>
    <t>kolkata</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</si>
  <si>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</si>
  <si>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</si>
  <si>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</si>
  <si>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</si>
  <si>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</si>
  <si>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</si>
  <si>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</si>
  <si>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</si>
  <si>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</si>
  <si>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</si>
  <si>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</si>
  <si>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</si>
  <si>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</si>
  <si>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</si>
  <si>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</si>
  <si>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</si>
  <si>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</si>
  <si>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</si>
  <si>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</si>
  <si>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</si>
  <si>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</si>
  <si>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</si>
  <si>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</si>
  <si>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</si>
  <si>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</si>
  <si>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</si>
  <si>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</si>
  <si>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</si>
  <si>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</si>
  <si>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</si>
  <si>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</si>
  <si>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</si>
  <si>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</si>
  <si>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</si>
  <si>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</si>
  <si>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</si>
  <si>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</si>
  <si>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</si>
  <si>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</si>
  <si>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</si>
  <si>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</si>
  <si>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</si>
  <si>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 xml:space="preserve"> TechSupply  </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</si>
  <si>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</si>
  <si>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</si>
  <si>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</si>
  <si>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</si>
  <si>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</si>
  <si>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</si>
  <si>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</si>
  <si>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</si>
  <si>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</si>
  <si>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</si>
  <si>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</si>
  <si>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</si>
  <si>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</si>
  <si>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</si>
  <si>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</si>
  <si>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</si>
  <si>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</si>
  <si>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</si>
  <si>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</si>
  <si>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</si>
  <si>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</si>
  <si>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</si>
  <si>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</si>
  <si>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</si>
  <si>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</si>
  <si>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</si>
  <si>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</si>
  <si>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</si>
  <si>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</si>
  <si>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</si>
  <si>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</si>
  <si>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</si>
  <si>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</si>
  <si>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</si>
  <si>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</si>
  <si>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</si>
  <si>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</si>
  <si>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</si>
  <si>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</si>
  <si>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</si>
  <si>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</si>
  <si>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</si>
  <si>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</si>
  <si>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</si>
  <si>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</si>
  <si>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</si>
  <si>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</si>
  <si>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</si>
  <si>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</si>
  <si>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</si>
  <si>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</si>
  <si>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</si>
  <si>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</si>
  <si>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</si>
  <si>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</si>
  <si>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</si>
  <si>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</si>
  <si>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</si>
  <si>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</si>
  <si>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</si>
  <si>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</si>
  <si>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</si>
  <si>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</si>
  <si>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</si>
  <si>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</si>
  <si>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</si>
  <si>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</si>
  <si>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</si>
  <si>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</si>
  <si>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</si>
  <si>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</si>
  <si>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</si>
  <si>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</si>
  <si>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</si>
  <si>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</si>
  <si>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</si>
  <si>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</si>
  <si>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</si>
  <si>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</si>
  <si>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</si>
  <si>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NOT AVILABLE</t>
  </si>
  <si>
    <t>TOTAL SALES</t>
  </si>
  <si>
    <t>TOTAL PROFIT</t>
  </si>
  <si>
    <t>TOTAL QUANTITY SOLD</t>
  </si>
  <si>
    <t>TOTAL CURRENT STOCK</t>
  </si>
  <si>
    <t>AVERAGE ORDER VALUE</t>
  </si>
  <si>
    <t>Total Sales</t>
  </si>
  <si>
    <t>Total Profit</t>
  </si>
  <si>
    <t>Row Labels</t>
  </si>
  <si>
    <t>Grand Total</t>
  </si>
  <si>
    <t>Sum of Total Sales</t>
  </si>
  <si>
    <t>Sum of Total Profit</t>
  </si>
  <si>
    <t>Count of Quantity Sold</t>
  </si>
  <si>
    <t>clean date</t>
  </si>
  <si>
    <t>2025</t>
  </si>
  <si>
    <t>Jan</t>
  </si>
  <si>
    <t>Feb</t>
  </si>
  <si>
    <t>Mar</t>
  </si>
  <si>
    <t>Apr</t>
  </si>
  <si>
    <t>May</t>
  </si>
  <si>
    <t>Jun</t>
  </si>
  <si>
    <t>Jul</t>
  </si>
  <si>
    <t>Aug</t>
  </si>
  <si>
    <t>Sep</t>
  </si>
  <si>
    <t>Oct</t>
  </si>
  <si>
    <t>Nov</t>
  </si>
  <si>
    <t>Dec</t>
  </si>
  <si>
    <t xml:space="preserve">SALES DATA ANALYSIS PIVOT TABLE </t>
  </si>
  <si>
    <t>REGION -WISWE SALES &amp; PROFIT</t>
  </si>
  <si>
    <t xml:space="preserve">CITY-WISW SALES &amp; PROFIT </t>
  </si>
  <si>
    <t>STATUS-WISE SALES &amp; PROFIT</t>
  </si>
  <si>
    <t>PRODUCT-WISE SALE &amp; QUANTITY</t>
  </si>
  <si>
    <t>MONTH-WISE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</si>
</sst>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4009]\ * #,##0.00_ ;_ [$₹-4009]\ * \-#,##0.00_ ;_ [$₹-4009]\ * &quot;-&quot;??_ ;_ @_ "/>
    <numFmt numFmtId="165" formatCode="[$-F800]dddd\,\ mmmm\ dd\,\ yyyy"/>
  </numFmts>
  <fonts count="4" x14ac:knownFonts="1">
    <font>
      <sz val="11"/>
      <color theme="1"/>
      <name val="Calibri"/>
      <family val="2"/>
      <scheme val="minor"/>
    </font>
    <font>
      <b/>
      <sz val="11"/>
      <name val="Calibri"/>
    </font>
    <font>
      <b/>
      <sz val="11"/>
      <name val="Calibri"/>
      <family val="2"/>
    </font>
    <font>
      <b/>
      <sz val="11"/>
      <color rgb="FFFF0000"/>
      <name val="Calibri"/>
      <family val="2"/>
      <scheme val="minor"/>
    </font>
  </fonts>
  <fills count="13">
    <fill>
      <patternFill patternType="none"/>
    </fill>
    <fill>
      <patternFill patternType="gray125"/>
    </fill>
    <fill>
      <patternFill patternType="solid">
        <fgColor theme="6"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bgColor indexed="64"/>
      </patternFill>
    </fill>
    <fill>
      <patternFill patternType="solid">
        <fgColor theme="9"/>
        <bgColor indexed="64"/>
      </patternFill>
    </fill>
    <fill>
      <patternFill patternType="solid">
        <fgColor rgb="FFFFC000"/>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3" fontId="0" fillId="0" borderId="0" xfId="0" applyNumberFormat="1"/>
    <xf numFmtId="164" fontId="0" fillId="0" borderId="0" xfId="0" applyNumberFormat="1"/>
    <xf numFmtId="0" fontId="0" fillId="2" borderId="0" xfId="0" applyFill="1"/>
    <xf numFmtId="0" fontId="0" fillId="3" borderId="0" xfId="0" applyFill="1"/>
    <xf numFmtId="0" fontId="0" fillId="4" borderId="0" xfId="0" applyFill="1"/>
    <xf numFmtId="164" fontId="0" fillId="4" borderId="0" xfId="0" applyNumberFormat="1" applyFill="1"/>
    <xf numFmtId="0" fontId="0" fillId="5" borderId="0" xfId="0" applyFill="1"/>
    <xf numFmtId="164" fontId="0" fillId="5" borderId="0" xfId="0" applyNumberFormat="1" applyFill="1"/>
    <xf numFmtId="3" fontId="0" fillId="2" borderId="0" xfId="0" applyNumberFormat="1" applyFill="1"/>
    <xf numFmtId="3" fontId="0" fillId="3" borderId="0" xfId="0" applyNumberFormat="1" applyFill="1"/>
    <xf numFmtId="0" fontId="0" fillId="6" borderId="0" xfId="0" applyFill="1"/>
    <xf numFmtId="164" fontId="0" fillId="6" borderId="0" xfId="0" applyNumberFormat="1" applyFill="1"/>
    <xf numFmtId="0" fontId="1" fillId="0" borderId="2" xfId="0" applyFont="1" applyFill="1" applyBorder="1" applyAlignment="1">
      <alignment horizontal="center" vertical="top"/>
    </xf>
    <xf numFmtId="0" fontId="1" fillId="0" borderId="0"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165" fontId="0" fillId="0" borderId="0" xfId="0" applyNumberFormat="1" applyAlignment="1">
      <alignment horizontal="center"/>
    </xf>
    <xf numFmtId="14" fontId="0" fillId="0" borderId="0" xfId="0" applyNumberFormat="1" applyAlignment="1"/>
    <xf numFmtId="0" fontId="3" fillId="8" borderId="0" xfId="0" applyFont="1" applyFill="1" applyAlignment="1">
      <alignment horizontal="center"/>
    </xf>
    <xf numFmtId="0" fontId="0" fillId="10" borderId="0" xfId="0" applyFill="1" applyAlignment="1">
      <alignment horizontal="center"/>
    </xf>
    <xf numFmtId="0" fontId="0" fillId="9" borderId="0" xfId="0" applyFill="1" applyAlignment="1">
      <alignment horizontal="center"/>
    </xf>
    <xf numFmtId="0" fontId="0" fillId="7"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cellXfs>
  <cellStyles count="1">
    <cellStyle name="Normal" xfId="0" builtinId="0"/>
  </cellStyles>
  <dxfs count="7">
    <dxf>
      <font>
        <color rgb="FF9C0006"/>
      </font>
      <fill>
        <patternFill>
          <bgColor rgb="FFFFC7CE"/>
        </patternFill>
      </fill>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s>
  <tableStyles count="0" defaultTableStyle="TableStyleMedium9" defaultPivotStyle="PivotStyleLight16"/>
  <colors>
    <mruColors>
      <color rgb="FF198CF5"/>
      <color rgb="FFFFCC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[Messy_Inventory_Supply_Chain_Dataset (Autosaved) (Autosaved).xlsx]Analysis!PivotTable1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REGION</a:t>
            </a:r>
            <a:r>
              <a:rPr lang="en-IN" sz="2400" b="1" baseline="0"/>
              <a:t> BY SALES &amp; PROFIT</a:t>
            </a:r>
            <a:endParaRPr lang="en-IN" sz="24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387380994618888E-3"/>
          <c:y val="0.13879028871391075"/>
          <c:w val="0.97049680258834059"/>
          <c:h val="0.77124671916010501"/>
        </c:manualLayout>
      </c:layout>
      <c:barChart>
        <c:barDir val="col"/>
        <c:grouping val="clustered"/>
        <c:varyColors val="0"/>
        <c:ser>
          <c:idx val="0"/>
          <c:order val="0"/>
          <c:tx>
            <c:strRef>
              <c:f>Analysis!$B$5</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Analysis!$A$6:$A$9</c:f>
              <c:strCache>
                <c:ptCount val="3"/>
                <c:pt idx="0">
                  <c:v>East</c:v>
                </c:pt>
                <c:pt idx="1">
                  <c:v>North</c:v>
                </c:pt>
                <c:pt idx="2">
                  <c:v>West</c:v>
                </c:pt>
              </c:strCache>
            </c:strRef>
          </c:cat>
          <c:val>
            <c:numRef>
              <c:f>Analysis!$B$6:$B$9</c:f>
              <c:numCache>
                <c:formatCode>_ [$₹-4009]\ * #,##0.00_ ;_ [$₹-4009]\ * \-#,##0.00_ ;_ [$₹-4009]\ * "-"??_ ;_ @_ </c:formatCode>
                <c:ptCount val="3"/>
                <c:pt idx="0">
                  <c:v>64008900</c:v>
                </c:pt>
                <c:pt idx="1">
                  <c:v>21415210</c:v>
                </c:pt>
                <c:pt idx="2">
                  <c:v>16864380</c:v>
                </c:pt>
              </c:numCache>
            </c:numRef>
          </c:val>
        </c:ser>
        <c:ser>
          <c:idx val="1"/>
          <c:order val="1"/>
          <c:tx>
            <c:strRef>
              <c:f>Analysis!$C$5</c:f>
              <c:strCache>
                <c:ptCount val="1"/>
                <c:pt idx="0">
                  <c:v>Sum of 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Analysis!$A$6:$A$9</c:f>
              <c:strCache>
                <c:ptCount val="3"/>
                <c:pt idx="0">
                  <c:v>East</c:v>
                </c:pt>
                <c:pt idx="1">
                  <c:v>North</c:v>
                </c:pt>
                <c:pt idx="2">
                  <c:v>West</c:v>
                </c:pt>
              </c:strCache>
            </c:strRef>
          </c:cat>
          <c:val>
            <c:numRef>
              <c:f>Analysis!$C$6:$C$9</c:f>
              <c:numCache>
                <c:formatCode>_ [$₹-4009]\ * #,##0.00_ ;_ [$₹-4009]\ * \-#,##0.00_ ;_ [$₹-4009]\ * "-"??_ ;_ @_ </c:formatCode>
                <c:ptCount val="3"/>
                <c:pt idx="0">
                  <c:v>14881010</c:v>
                </c:pt>
                <c:pt idx="1">
                  <c:v>3570025</c:v>
                </c:pt>
                <c:pt idx="2">
                  <c:v>4298945</c:v>
                </c:pt>
              </c:numCache>
            </c:numRef>
          </c:val>
        </c:ser>
        <c:dLbls>
          <c:showLegendKey val="0"/>
          <c:showVal val="1"/>
          <c:showCatName val="0"/>
          <c:showSerName val="0"/>
          <c:showPercent val="0"/>
          <c:showBubbleSize val="0"/>
        </c:dLbls>
        <c:gapWidth val="150"/>
        <c:overlap val="-25"/>
        <c:axId val="345034592"/>
        <c:axId val="345031456"/>
      </c:barChart>
      <c:catAx>
        <c:axId val="3450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031456"/>
        <c:crosses val="autoZero"/>
        <c:auto val="1"/>
        <c:lblAlgn val="ctr"/>
        <c:lblOffset val="100"/>
        <c:noMultiLvlLbl val="0"/>
      </c:catAx>
      <c:valAx>
        <c:axId val="345031456"/>
        <c:scaling>
          <c:orientation val="minMax"/>
        </c:scaling>
        <c:delete val="1"/>
        <c:axPos val="l"/>
        <c:numFmt formatCode="_ [$₹-4009]\ * #,##0.00_ ;_ [$₹-4009]\ * \-#,##0.00_ ;_ [$₹-4009]\ * &quot;-&quot;??_ ;_ @_ " sourceLinked="1"/>
        <c:majorTickMark val="none"/>
        <c:minorTickMark val="none"/>
        <c:tickLblPos val="nextTo"/>
        <c:crossAx val="345034592"/>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rgbClr val="198CF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[Messy_Inventory_Supply_Chain_Dataset (Autosaved) (Autosaved).xlsx]Analysis!PivotTable5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CITY-WISE TOTAL SALES &amp; PROFIT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Analysis!$B$13</c:f>
              <c:strCache>
                <c:ptCount val="1"/>
                <c:pt idx="0">
                  <c:v>Sum of Total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Analysis!$A$14:$A$18</c:f>
              <c:strCache>
                <c:ptCount val="4"/>
                <c:pt idx="0">
                  <c:v>Delhi</c:v>
                </c:pt>
                <c:pt idx="1">
                  <c:v>Kolkata</c:v>
                </c:pt>
                <c:pt idx="2">
                  <c:v>Mumbai</c:v>
                </c:pt>
                <c:pt idx="3">
                  <c:v>Patna</c:v>
                </c:pt>
              </c:strCache>
            </c:strRef>
          </c:cat>
          <c:val>
            <c:numRef>
              <c:f>Analysis!$B$14:$B$18</c:f>
              <c:numCache>
                <c:formatCode>_ [$₹-4009]\ * #,##0.00_ ;_ [$₹-4009]\ * \-#,##0.00_ ;_ [$₹-4009]\ * "-"??_ ;_ @_ </c:formatCode>
                <c:ptCount val="4"/>
                <c:pt idx="0">
                  <c:v>21415210</c:v>
                </c:pt>
                <c:pt idx="1">
                  <c:v>42681300</c:v>
                </c:pt>
                <c:pt idx="2">
                  <c:v>16864380</c:v>
                </c:pt>
                <c:pt idx="3">
                  <c:v>21327600</c:v>
                </c:pt>
              </c:numCache>
            </c:numRef>
          </c:val>
        </c:ser>
        <c:ser>
          <c:idx val="1"/>
          <c:order val="1"/>
          <c:tx>
            <c:strRef>
              <c:f>Analysis!$C$13</c:f>
              <c:strCache>
                <c:ptCount val="1"/>
                <c:pt idx="0">
                  <c:v>Sum of Total Profit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Analysis!$A$14:$A$18</c:f>
              <c:strCache>
                <c:ptCount val="4"/>
                <c:pt idx="0">
                  <c:v>Delhi</c:v>
                </c:pt>
                <c:pt idx="1">
                  <c:v>Kolkata</c:v>
                </c:pt>
                <c:pt idx="2">
                  <c:v>Mumbai</c:v>
                </c:pt>
                <c:pt idx="3">
                  <c:v>Patna</c:v>
                </c:pt>
              </c:strCache>
            </c:strRef>
          </c:cat>
          <c:val>
            <c:numRef>
              <c:f>Analysis!$C$14:$C$18</c:f>
              <c:numCache>
                <c:formatCode>_ [$₹-4009]\ * #,##0.00_ ;_ [$₹-4009]\ * \-#,##0.00_ ;_ [$₹-4009]\ * "-"??_ ;_ @_ </c:formatCode>
                <c:ptCount val="4"/>
                <c:pt idx="0">
                  <c:v>3570025</c:v>
                </c:pt>
                <c:pt idx="1">
                  <c:v>9645490</c:v>
                </c:pt>
                <c:pt idx="2">
                  <c:v>4298945</c:v>
                </c:pt>
                <c:pt idx="3">
                  <c:v>5235520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60000"/>
        <a:lumOff val="40000"/>
      </a:schemeClr>
    </a:solidFill>
    <a:ln w="9525" cap="flat" cmpd="sng" algn="ctr">
      <a:solidFill>
        <a:srgbClr val="198CF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[Messy_Inventory_Supply_Chain_Dataset (Autosaved) (Autosaved).xlsx]Analysis!PivotTable1</c:name>
    <c:fmtId val="6"/>
  </c:pivotSource>
  <c:chart>
    <c:title>
      <c:tx>
        <c:rich>
          <a:bodyPr rot="0" spcFirstLastPara="1" vertOverflow="ellipsis" vert="horz" wrap="square" anchor="ctr" anchorCtr="1"/>
          <a:lstStyle/>
          <a:p>
            <a:pPr>
              <a:defRPr sz="2800" b="0" i="0" u="none" strike="noStrike" kern="1200" baseline="0">
                <a:solidFill>
                  <a:schemeClr val="dk1">
                    <a:lumMod val="65000"/>
                    <a:lumOff val="35000"/>
                  </a:schemeClr>
                </a:solidFill>
                <a:effectLst/>
                <a:latin typeface="+mn-lt"/>
                <a:ea typeface="+mn-ea"/>
                <a:cs typeface="+mn-cs"/>
              </a:defRPr>
            </a:pPr>
            <a:r>
              <a:rPr lang="en-US" sz="2800" b="1"/>
              <a:t>MONTH SALES</a:t>
            </a:r>
            <a:r>
              <a:rPr lang="en-US" sz="2800" b="1" baseline="0"/>
              <a:t> REPORT</a:t>
            </a:r>
            <a:endParaRPr lang="en-US" sz="2800" b="1"/>
          </a:p>
        </c:rich>
      </c:tx>
      <c:layout/>
      <c:overlay val="0"/>
      <c:spPr>
        <a:noFill/>
        <a:ln>
          <a:noFill/>
        </a:ln>
        <a:effectLst/>
      </c:spPr>
      <c:txPr>
        <a:bodyPr rot="0" spcFirstLastPara="1" vertOverflow="ellipsis" vert="horz" wrap="square" anchor="ctr" anchorCtr="1"/>
        <a:lstStyle/>
        <a:p>
          <a:pPr>
            <a:defRPr sz="28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barChart>
        <c:barDir val="col"/>
        <c:grouping val="clustered"/>
        <c:varyColors val="0"/>
        <c:ser>
          <c:idx val="0"/>
          <c:order val="0"/>
          <c:tx>
            <c:strRef>
              <c:f>Analysis!$B$5</c:f>
              <c:strCache>
                <c:ptCount val="1"/>
                <c:pt idx="0">
                  <c:v>Sum of Total Sales</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delete val="1"/>
          </c:dLbls>
          <c:cat>
            <c:strRef>
              <c:f>Analysis!$A$6:$A$9</c:f>
              <c:strCache>
                <c:ptCount val="3"/>
                <c:pt idx="0">
                  <c:v>East</c:v>
                </c:pt>
                <c:pt idx="1">
                  <c:v>North</c:v>
                </c:pt>
                <c:pt idx="2">
                  <c:v>West</c:v>
                </c:pt>
              </c:strCache>
            </c:strRef>
          </c:cat>
          <c:val>
            <c:numRef>
              <c:f>Analysis!$B$6:$B$9</c:f>
              <c:numCache>
                <c:formatCode>_ [$₹-4009]\ * #,##0.00_ ;_ [$₹-4009]\ * \-#,##0.00_ ;_ [$₹-4009]\ * "-"??_ ;_ @_ </c:formatCode>
                <c:ptCount val="3"/>
                <c:pt idx="0">
                  <c:v>64008900</c:v>
                </c:pt>
                <c:pt idx="1">
                  <c:v>21415210</c:v>
                </c:pt>
                <c:pt idx="2">
                  <c:v>16864380</c:v>
                </c:pt>
              </c:numCache>
            </c:numRef>
          </c:val>
        </c:ser>
        <c:ser>
          <c:idx val="1"/>
          <c:order val="1"/>
          <c:tx>
            <c:strRef>
              <c:f>Analysis!$C$5</c:f>
              <c:strCache>
                <c:ptCount val="1"/>
                <c:pt idx="0">
                  <c:v>Sum of Total Profit</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Analysis!$A$6:$A$9</c:f>
              <c:strCache>
                <c:ptCount val="3"/>
                <c:pt idx="0">
                  <c:v>East</c:v>
                </c:pt>
                <c:pt idx="1">
                  <c:v>North</c:v>
                </c:pt>
                <c:pt idx="2">
                  <c:v>West</c:v>
                </c:pt>
              </c:strCache>
            </c:strRef>
          </c:cat>
          <c:val>
            <c:numRef>
              <c:f>Analysis!$C$6:$C$9</c:f>
              <c:numCache>
                <c:formatCode>_ [$₹-4009]\ * #,##0.00_ ;_ [$₹-4009]\ * \-#,##0.00_ ;_ [$₹-4009]\ * "-"??_ ;_ @_ </c:formatCode>
                <c:ptCount val="3"/>
                <c:pt idx="0">
                  <c:v>14881010</c:v>
                </c:pt>
                <c:pt idx="1">
                  <c:v>3570025</c:v>
                </c:pt>
                <c:pt idx="2">
                  <c:v>4298945</c:v>
                </c:pt>
              </c:numCache>
            </c:numRef>
          </c:val>
        </c:ser>
        <c:dLbls>
          <c:dLblPos val="outEnd"/>
          <c:showLegendKey val="0"/>
          <c:showVal val="1"/>
          <c:showCatName val="0"/>
          <c:showSerName val="0"/>
          <c:showPercent val="0"/>
          <c:showBubbleSize val="0"/>
        </c:dLbls>
        <c:gapWidth val="41"/>
        <c:axId val="345032240"/>
        <c:axId val="345028712"/>
      </c:barChart>
      <c:catAx>
        <c:axId val="34503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5028712"/>
        <c:crosses val="autoZero"/>
        <c:auto val="1"/>
        <c:lblAlgn val="ctr"/>
        <c:lblOffset val="100"/>
        <c:noMultiLvlLbl val="0"/>
      </c:catAx>
      <c:valAx>
        <c:axId val="345028712"/>
        <c:scaling>
          <c:orientation val="minMax"/>
        </c:scaling>
        <c:delete val="1"/>
        <c:axPos val="l"/>
        <c:numFmt formatCode="_ [$₹-4009]\ * #,##0.00_ ;_ [$₹-4009]\ * \-#,##0.00_ ;_ [$₹-4009]\ * &quot;-&quot;??_ ;_ @_ " sourceLinked="1"/>
        <c:majorTickMark val="none"/>
        <c:minorTickMark val="none"/>
        <c:tickLblPos val="nextTo"/>
        <c:crossAx val="3450322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tx2">
        <a:lumMod val="40000"/>
        <a:lumOff val="60000"/>
      </a:schemeClr>
    </a:solidFill>
    <a:ln w="9525" cap="flat" cmpd="sng" algn="ctr">
      <a:solidFill>
        <a:srgbClr val="198CF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2.xml"/><Relationship Id="rId7" Type="http://schemas.openxmlformats.org/officeDocument/2006/relationships/image" Target="../media/image4.jpeg"/><Relationship Id="rId2" Type="http://schemas.openxmlformats.org/officeDocument/2006/relationships/chart" Target="../charts/chart1.xml"/><Relationship Id="rId1" Type="http://schemas.openxmlformats.org/officeDocument/2006/relationships/image" Target="../media/image1.webp"/><Relationship Id="rId6" Type="http://schemas.openxmlformats.org/officeDocument/2006/relationships/image" Target="../media/image3.jpeg"/><Relationship Id="rId11" Type="http://schemas.openxmlformats.org/officeDocument/2006/relationships/image" Target="../media/image8.jpeg"/><Relationship Id="rId5" Type="http://schemas.openxmlformats.org/officeDocument/2006/relationships/image" Target="../media/image2.png"/><Relationship Id="rId10" Type="http://schemas.openxmlformats.org/officeDocument/2006/relationships/image" Target="../media/image7.jpeg"/><Relationship Id="rId4" Type="http://schemas.openxmlformats.org/officeDocument/2006/relationships/chart" Target="../charts/chart3.xml"/><Relationship Id="rId9"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2</xdr:col>
      <xdr:colOff>46180</xdr:colOff>
      <xdr:row>0</xdr:row>
      <xdr:rowOff>57728</xdr:rowOff>
    </xdr:from>
    <xdr:to>
      <xdr:col>68</xdr:col>
      <xdr:colOff>254000</xdr:colOff>
      <xdr:row>85</xdr:row>
      <xdr:rowOff>57728</xdr:rowOff>
    </xdr:to>
    <xdr:sp macro="" textlink="">
      <xdr:nvSpPr>
        <xdr:cNvPr id="2" name="Rounded Rectangle 1"/>
        <xdr:cNvSpPr/>
      </xdr:nvSpPr>
      <xdr:spPr>
        <a:xfrm>
          <a:off x="1252680" y="57728"/>
          <a:ext cx="40022320" cy="16192500"/>
        </a:xfrm>
        <a:prstGeom prst="roundRect">
          <a:avLst>
            <a:gd name="adj" fmla="val 462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63499</xdr:colOff>
      <xdr:row>6</xdr:row>
      <xdr:rowOff>-1</xdr:rowOff>
    </xdr:from>
    <xdr:to>
      <xdr:col>64</xdr:col>
      <xdr:colOff>222250</xdr:colOff>
      <xdr:row>80</xdr:row>
      <xdr:rowOff>173182</xdr:rowOff>
    </xdr:to>
    <xdr:sp macro="" textlink="">
      <xdr:nvSpPr>
        <xdr:cNvPr id="3" name="Rounded Rectangle 2"/>
        <xdr:cNvSpPr/>
      </xdr:nvSpPr>
      <xdr:spPr>
        <a:xfrm>
          <a:off x="1269999" y="1142999"/>
          <a:ext cx="37560251" cy="14270183"/>
        </a:xfrm>
        <a:prstGeom prst="roundRect">
          <a:avLst>
            <a:gd name="adj" fmla="val 4286"/>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343477</xdr:colOff>
      <xdr:row>6</xdr:row>
      <xdr:rowOff>111125</xdr:rowOff>
    </xdr:from>
    <xdr:to>
      <xdr:col>49</xdr:col>
      <xdr:colOff>533977</xdr:colOff>
      <xdr:row>15</xdr:row>
      <xdr:rowOff>103025</xdr:rowOff>
    </xdr:to>
    <xdr:sp macro="" textlink="">
      <xdr:nvSpPr>
        <xdr:cNvPr id="4" name="Rounded Rectangle 3"/>
        <xdr:cNvSpPr/>
      </xdr:nvSpPr>
      <xdr:spPr>
        <a:xfrm>
          <a:off x="6404841" y="1323398"/>
          <a:ext cx="23829818" cy="1810309"/>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171450</xdr:colOff>
      <xdr:row>6</xdr:row>
      <xdr:rowOff>171449</xdr:rowOff>
    </xdr:from>
    <xdr:to>
      <xdr:col>8</xdr:col>
      <xdr:colOff>539750</xdr:colOff>
      <xdr:row>73</xdr:row>
      <xdr:rowOff>47624</xdr:rowOff>
    </xdr:to>
    <xdr:sp macro="" textlink="">
      <xdr:nvSpPr>
        <xdr:cNvPr id="5" name="Rounded Rectangle 4"/>
        <xdr:cNvSpPr/>
      </xdr:nvSpPr>
      <xdr:spPr>
        <a:xfrm>
          <a:off x="1377950" y="1314449"/>
          <a:ext cx="3987800" cy="126396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602923</xdr:colOff>
      <xdr:row>18</xdr:row>
      <xdr:rowOff>63500</xdr:rowOff>
    </xdr:from>
    <xdr:to>
      <xdr:col>17</xdr:col>
      <xdr:colOff>0</xdr:colOff>
      <xdr:row>27</xdr:row>
      <xdr:rowOff>63500</xdr:rowOff>
    </xdr:to>
    <xdr:sp macro="" textlink="">
      <xdr:nvSpPr>
        <xdr:cNvPr id="6" name="Rounded Rectangle 5"/>
        <xdr:cNvSpPr/>
      </xdr:nvSpPr>
      <xdr:spPr>
        <a:xfrm>
          <a:off x="6058150" y="3700318"/>
          <a:ext cx="4246168" cy="1818409"/>
        </a:xfrm>
        <a:prstGeom prst="round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0">
              <a:ln w="0"/>
              <a:solidFill>
                <a:schemeClr val="tx1"/>
              </a:solidFill>
              <a:effectLst>
                <a:outerShdw blurRad="38100" dist="19050" dir="2700000" algn="tl" rotWithShape="0">
                  <a:schemeClr val="dk1">
                    <a:alpha val="40000"/>
                  </a:schemeClr>
                </a:outerShdw>
              </a:effectLst>
              <a:latin typeface="+mj-lt"/>
            </a:rPr>
            <a:t>TOTAL</a:t>
          </a:r>
          <a:r>
            <a:rPr lang="en-IN" sz="2400" b="1" cap="none" spc="0" baseline="0">
              <a:ln w="0"/>
              <a:solidFill>
                <a:schemeClr val="tx1"/>
              </a:solidFill>
              <a:effectLst>
                <a:outerShdw blurRad="38100" dist="19050" dir="2700000" algn="tl" rotWithShape="0">
                  <a:schemeClr val="dk1">
                    <a:alpha val="40000"/>
                  </a:schemeClr>
                </a:outerShdw>
              </a:effectLst>
              <a:latin typeface="+mj-lt"/>
            </a:rPr>
            <a:t> SALES</a:t>
          </a:r>
        </a:p>
        <a:p>
          <a:pPr algn="l"/>
          <a:endParaRPr lang="en-IN" sz="2400" b="1" cap="none" spc="0" baseline="0">
            <a:ln w="0"/>
            <a:solidFill>
              <a:schemeClr val="tx1"/>
            </a:solidFill>
            <a:effectLst>
              <a:outerShdw blurRad="38100" dist="19050" dir="2700000" algn="tl" rotWithShape="0">
                <a:schemeClr val="dk1">
                  <a:alpha val="40000"/>
                </a:schemeClr>
              </a:outerShdw>
            </a:effectLst>
            <a:latin typeface="Britannic Bold" panose="020B0903060703020204" pitchFamily="34" charset="0"/>
          </a:endParaRPr>
        </a:p>
        <a:p>
          <a:pPr algn="l"/>
          <a:r>
            <a:rPr lang="en-IN" sz="1100" b="0" i="0" u="none" strike="noStrike">
              <a:solidFill>
                <a:schemeClr val="lt1"/>
              </a:solidFill>
              <a:effectLst/>
              <a:latin typeface="+mn-lt"/>
              <a:ea typeface="+mn-ea"/>
              <a:cs typeface="+mn-cs"/>
            </a:rPr>
            <a:t> </a:t>
          </a:r>
          <a:r>
            <a:rPr lang="en-IN" sz="3600" b="1" i="0" u="none" strike="noStrike">
              <a:solidFill>
                <a:sysClr val="windowText" lastClr="000000"/>
              </a:solidFill>
              <a:effectLst/>
              <a:latin typeface="+mj-lt"/>
              <a:ea typeface="+mn-ea"/>
              <a:cs typeface="+mn-cs"/>
            </a:rPr>
            <a:t>₹ 10,22,88,490.00 </a:t>
          </a:r>
          <a:endParaRPr lang="en-IN" sz="3200" b="1" u="none">
            <a:latin typeface="+mj-lt"/>
          </a:endParaRPr>
        </a:p>
      </xdr:txBody>
    </xdr:sp>
    <xdr:clientData/>
  </xdr:twoCellAnchor>
  <xdr:twoCellAnchor>
    <xdr:from>
      <xdr:col>40</xdr:col>
      <xdr:colOff>100823</xdr:colOff>
      <xdr:row>18</xdr:row>
      <xdr:rowOff>15875</xdr:rowOff>
    </xdr:from>
    <xdr:to>
      <xdr:col>46</xdr:col>
      <xdr:colOff>476250</xdr:colOff>
      <xdr:row>27</xdr:row>
      <xdr:rowOff>15875</xdr:rowOff>
    </xdr:to>
    <xdr:sp macro="" textlink="">
      <xdr:nvSpPr>
        <xdr:cNvPr id="7" name="Rounded Rectangle 6"/>
        <xdr:cNvSpPr/>
      </xdr:nvSpPr>
      <xdr:spPr>
        <a:xfrm>
          <a:off x="24230823" y="3444875"/>
          <a:ext cx="3994927" cy="1714500"/>
        </a:xfrm>
        <a:prstGeom prst="round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0">
              <a:ln w="0"/>
              <a:solidFill>
                <a:schemeClr val="tx1"/>
              </a:solidFill>
              <a:effectLst>
                <a:outerShdw blurRad="38100" dist="19050" dir="2700000" algn="tl" rotWithShape="0">
                  <a:schemeClr val="dk1">
                    <a:alpha val="40000"/>
                  </a:schemeClr>
                </a:outerShdw>
              </a:effectLst>
              <a:latin typeface="+mn-lt"/>
            </a:rPr>
            <a:t>AVERAGE ORDER VALUE</a:t>
          </a:r>
          <a:r>
            <a:rPr lang="en-IN" sz="2400" b="1"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 </a:t>
          </a:r>
        </a:p>
        <a:p>
          <a:pPr algn="l"/>
          <a:r>
            <a:rPr lang="en-IN" sz="1100" b="0" i="0" u="none" strike="noStrike">
              <a:solidFill>
                <a:schemeClr val="lt1"/>
              </a:solidFill>
              <a:effectLst/>
              <a:latin typeface="+mn-lt"/>
              <a:ea typeface="+mn-ea"/>
              <a:cs typeface="+mn-cs"/>
            </a:rPr>
            <a:t> </a:t>
          </a:r>
        </a:p>
        <a:p>
          <a:pPr algn="l"/>
          <a:endParaRPr lang="en-IN" sz="1100" b="0" i="0" u="none" strike="noStrike">
            <a:solidFill>
              <a:schemeClr val="lt1"/>
            </a:solidFill>
            <a:effectLst/>
            <a:latin typeface="+mn-lt"/>
            <a:ea typeface="+mn-ea"/>
            <a:cs typeface="+mn-cs"/>
          </a:endParaRPr>
        </a:p>
        <a:p>
          <a:pPr algn="l"/>
          <a:r>
            <a:rPr lang="en-IN" sz="1100" b="0" i="0" u="none" strike="noStrike" baseline="0">
              <a:solidFill>
                <a:schemeClr val="lt1"/>
              </a:solidFill>
              <a:effectLst/>
              <a:latin typeface="+mn-lt"/>
              <a:ea typeface="+mn-ea"/>
              <a:cs typeface="+mn-cs"/>
            </a:rPr>
            <a:t>           </a:t>
          </a:r>
          <a:r>
            <a:rPr lang="en-IN" sz="4000" b="1" i="0" u="none" strike="noStrike">
              <a:solidFill>
                <a:sysClr val="windowText" lastClr="000000"/>
              </a:solidFill>
              <a:effectLst/>
              <a:latin typeface="+mn-lt"/>
              <a:ea typeface="+mn-ea"/>
              <a:cs typeface="+mn-cs"/>
            </a:rPr>
            <a:t>₹</a:t>
          </a:r>
          <a:r>
            <a:rPr lang="en-IN" sz="4000" b="1" i="0" u="none" strike="noStrike" baseline="0">
              <a:solidFill>
                <a:sysClr val="windowText" lastClr="000000"/>
              </a:solidFill>
              <a:effectLst/>
              <a:latin typeface="+mn-lt"/>
              <a:ea typeface="+mn-ea"/>
              <a:cs typeface="+mn-cs"/>
            </a:rPr>
            <a:t> </a:t>
          </a:r>
          <a:r>
            <a:rPr lang="en-IN" sz="4000" b="1" i="0" u="none" strike="noStrike">
              <a:solidFill>
                <a:sysClr val="windowText" lastClr="000000"/>
              </a:solidFill>
              <a:effectLst/>
              <a:latin typeface="+mn-lt"/>
              <a:ea typeface="+mn-ea"/>
              <a:cs typeface="+mn-cs"/>
            </a:rPr>
            <a:t> 3,40,961.63 </a:t>
          </a:r>
          <a:endParaRPr lang="en-IN" sz="2800" b="1" i="0" u="none" strike="noStrike">
            <a:solidFill>
              <a:sysClr val="windowText" lastClr="000000"/>
            </a:solidFill>
            <a:effectLst/>
            <a:latin typeface="+mn-lt"/>
            <a:ea typeface="+mn-ea"/>
            <a:cs typeface="+mn-cs"/>
          </a:endParaRPr>
        </a:p>
      </xdr:txBody>
    </xdr:sp>
    <xdr:clientData/>
  </xdr:twoCellAnchor>
  <xdr:twoCellAnchor>
    <xdr:from>
      <xdr:col>30</xdr:col>
      <xdr:colOff>73590</xdr:colOff>
      <xdr:row>17</xdr:row>
      <xdr:rowOff>174625</xdr:rowOff>
    </xdr:from>
    <xdr:to>
      <xdr:col>36</xdr:col>
      <xdr:colOff>453129</xdr:colOff>
      <xdr:row>26</xdr:row>
      <xdr:rowOff>174625</xdr:rowOff>
    </xdr:to>
    <xdr:sp macro="" textlink="">
      <xdr:nvSpPr>
        <xdr:cNvPr id="8" name="Rounded Rectangle 7"/>
        <xdr:cNvSpPr/>
      </xdr:nvSpPr>
      <xdr:spPr>
        <a:xfrm>
          <a:off x="18757244" y="3288567"/>
          <a:ext cx="4116270" cy="1648558"/>
        </a:xfrm>
        <a:prstGeom prst="round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0" cap="none" spc="0">
              <a:ln w="0"/>
              <a:solidFill>
                <a:schemeClr val="tx1"/>
              </a:solidFill>
              <a:effectLst>
                <a:outerShdw blurRad="38100" dist="19050" dir="2700000" algn="tl" rotWithShape="0">
                  <a:schemeClr val="dk1">
                    <a:alpha val="40000"/>
                  </a:schemeClr>
                </a:outerShdw>
              </a:effectLst>
              <a:latin typeface="+mj-lt"/>
            </a:rPr>
            <a:t>TOTAL QUANTITY SOLD </a:t>
          </a:r>
        </a:p>
        <a:p>
          <a:pPr algn="l"/>
          <a:endParaRPr lang="en-IN" sz="2400" b="0" cap="none" spc="0">
            <a:ln w="0"/>
            <a:solidFill>
              <a:schemeClr val="tx1"/>
            </a:solidFill>
            <a:effectLst>
              <a:outerShdw blurRad="38100" dist="19050" dir="2700000" algn="tl" rotWithShape="0">
                <a:schemeClr val="dk1">
                  <a:alpha val="40000"/>
                </a:schemeClr>
              </a:outerShdw>
            </a:effectLst>
            <a:latin typeface="+mj-lt"/>
          </a:endParaRPr>
        </a:p>
        <a:p>
          <a:pPr algn="ctr"/>
          <a:r>
            <a:rPr lang="en-IN" sz="3600" b="1" cap="none" spc="0">
              <a:ln w="0"/>
              <a:solidFill>
                <a:schemeClr val="tx1"/>
              </a:solidFill>
              <a:effectLst>
                <a:outerShdw blurRad="38100" dist="19050" dir="2700000" algn="tl" rotWithShape="0">
                  <a:schemeClr val="dk1">
                    <a:alpha val="40000"/>
                  </a:schemeClr>
                </a:outerShdw>
              </a:effectLst>
              <a:latin typeface="+mj-lt"/>
            </a:rPr>
            <a:t>14,975</a:t>
          </a:r>
        </a:p>
        <a:p>
          <a:pPr algn="l"/>
          <a:endParaRPr lang="en-IN" sz="24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endParaRPr>
        </a:p>
      </xdr:txBody>
    </xdr:sp>
    <xdr:clientData/>
  </xdr:twoCellAnchor>
  <xdr:twoCellAnchor>
    <xdr:from>
      <xdr:col>20</xdr:col>
      <xdr:colOff>81771</xdr:colOff>
      <xdr:row>18</xdr:row>
      <xdr:rowOff>63500</xdr:rowOff>
    </xdr:from>
    <xdr:to>
      <xdr:col>26</xdr:col>
      <xdr:colOff>425896</xdr:colOff>
      <xdr:row>27</xdr:row>
      <xdr:rowOff>63500</xdr:rowOff>
    </xdr:to>
    <xdr:sp macro="" textlink="">
      <xdr:nvSpPr>
        <xdr:cNvPr id="9" name="Rounded Rectangle 8"/>
        <xdr:cNvSpPr/>
      </xdr:nvSpPr>
      <xdr:spPr>
        <a:xfrm>
          <a:off x="12537540" y="3360615"/>
          <a:ext cx="4080856" cy="1648558"/>
        </a:xfrm>
        <a:prstGeom prst="round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0">
              <a:ln w="0"/>
              <a:solidFill>
                <a:schemeClr val="tx1"/>
              </a:solidFill>
              <a:effectLst>
                <a:outerShdw blurRad="38100" dist="19050" dir="2700000" algn="tl" rotWithShape="0">
                  <a:schemeClr val="dk1">
                    <a:alpha val="40000"/>
                  </a:schemeClr>
                </a:outerShdw>
              </a:effectLst>
              <a:latin typeface="+mj-lt"/>
            </a:rPr>
            <a:t>TOTAL</a:t>
          </a:r>
          <a:r>
            <a:rPr lang="en-IN" sz="2400" b="1" cap="none" spc="0" baseline="0">
              <a:ln w="0"/>
              <a:solidFill>
                <a:schemeClr val="tx1"/>
              </a:solidFill>
              <a:effectLst>
                <a:outerShdw blurRad="38100" dist="19050" dir="2700000" algn="tl" rotWithShape="0">
                  <a:schemeClr val="dk1">
                    <a:alpha val="40000"/>
                  </a:schemeClr>
                </a:outerShdw>
              </a:effectLst>
              <a:latin typeface="+mj-lt"/>
            </a:rPr>
            <a:t> PROFIT </a:t>
          </a:r>
        </a:p>
        <a:p>
          <a:pPr algn="l"/>
          <a:endParaRPr lang="en-IN" sz="2400" b="1" cap="none" spc="0" baseline="0">
            <a:ln w="0"/>
            <a:solidFill>
              <a:schemeClr val="tx1"/>
            </a:solidFill>
            <a:effectLst>
              <a:outerShdw blurRad="38100" dist="19050" dir="2700000" algn="tl" rotWithShape="0">
                <a:schemeClr val="dk1">
                  <a:alpha val="40000"/>
                </a:schemeClr>
              </a:outerShdw>
            </a:effectLst>
            <a:latin typeface="Britannic Bold" panose="020B0903060703020204" pitchFamily="34" charset="0"/>
          </a:endParaRPr>
        </a:p>
        <a:p>
          <a:pPr algn="l"/>
          <a:r>
            <a:rPr lang="en-IN" sz="2800" b="0" cap="none" spc="0" baseline="0">
              <a:ln w="0"/>
              <a:solidFill>
                <a:sysClr val="windowText" lastClr="000000"/>
              </a:solidFill>
              <a:effectLst>
                <a:outerShdw blurRad="38100" dist="19050" dir="2700000" algn="tl" rotWithShape="0">
                  <a:schemeClr val="dk1">
                    <a:alpha val="40000"/>
                  </a:schemeClr>
                </a:outerShdw>
              </a:effectLst>
              <a:latin typeface="Britannic Bold" panose="020B0903060703020204" pitchFamily="34" charset="0"/>
            </a:rPr>
            <a:t> </a:t>
          </a:r>
          <a:r>
            <a:rPr lang="en-IN" sz="2800" b="0" i="0" u="none" strike="noStrike">
              <a:solidFill>
                <a:sysClr val="windowText" lastClr="000000"/>
              </a:solidFill>
              <a:effectLst/>
              <a:latin typeface="+mn-lt"/>
              <a:ea typeface="+mn-ea"/>
              <a:cs typeface="+mn-cs"/>
            </a:rPr>
            <a:t> </a:t>
          </a:r>
          <a:r>
            <a:rPr lang="en-IN" sz="3600" b="1" i="0" u="none" strike="noStrike">
              <a:solidFill>
                <a:sysClr val="windowText" lastClr="000000"/>
              </a:solidFill>
              <a:effectLst/>
              <a:latin typeface="+mn-lt"/>
              <a:ea typeface="+mn-ea"/>
              <a:cs typeface="+mn-cs"/>
            </a:rPr>
            <a:t>₹  2,27,49,980.00 </a:t>
          </a:r>
          <a:endParaRPr lang="en-IN" sz="3200" b="1">
            <a:solidFill>
              <a:sysClr val="windowText" lastClr="000000"/>
            </a:solidFill>
            <a:latin typeface="Britannic Bold" panose="020B0903060703020204" pitchFamily="34" charset="0"/>
          </a:endParaRPr>
        </a:p>
      </xdr:txBody>
    </xdr:sp>
    <xdr:clientData/>
  </xdr:twoCellAnchor>
  <xdr:twoCellAnchor>
    <xdr:from>
      <xdr:col>18</xdr:col>
      <xdr:colOff>101023</xdr:colOff>
      <xdr:row>9</xdr:row>
      <xdr:rowOff>47336</xdr:rowOff>
    </xdr:from>
    <xdr:to>
      <xdr:col>39</xdr:col>
      <xdr:colOff>432954</xdr:colOff>
      <xdr:row>14</xdr:row>
      <xdr:rowOff>9237</xdr:rowOff>
    </xdr:to>
    <xdr:sp macro="" textlink="">
      <xdr:nvSpPr>
        <xdr:cNvPr id="10" name="Rounded Rectangle 9"/>
        <xdr:cNvSpPr/>
      </xdr:nvSpPr>
      <xdr:spPr>
        <a:xfrm>
          <a:off x="11011478" y="1865745"/>
          <a:ext cx="13060794" cy="97212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solidFill>
              <a:latin typeface="+mj-lt"/>
            </a:rPr>
            <a:t>SUSUPLY-CHAIN</a:t>
          </a:r>
          <a:r>
            <a:rPr lang="en-IN" sz="4000" b="1" baseline="0">
              <a:solidFill>
                <a:schemeClr val="tx1"/>
              </a:solidFill>
              <a:latin typeface="+mj-lt"/>
            </a:rPr>
            <a:t> ANALYSIS DASHBOARD</a:t>
          </a:r>
          <a:endParaRPr lang="en-IN" sz="4000" b="1">
            <a:solidFill>
              <a:schemeClr val="tx1"/>
            </a:solidFill>
            <a:latin typeface="+mj-lt"/>
          </a:endParaRPr>
        </a:p>
      </xdr:txBody>
    </xdr:sp>
    <xdr:clientData/>
  </xdr:twoCellAnchor>
  <xdr:twoCellAnchor editAs="oneCell">
    <xdr:from>
      <xdr:col>17</xdr:col>
      <xdr:colOff>432954</xdr:colOff>
      <xdr:row>7</xdr:row>
      <xdr:rowOff>96791</xdr:rowOff>
    </xdr:from>
    <xdr:to>
      <xdr:col>20</xdr:col>
      <xdr:colOff>583046</xdr:colOff>
      <xdr:row>14</xdr:row>
      <xdr:rowOff>173183</xdr:rowOff>
    </xdr:to>
    <xdr:pic>
      <xdr:nvPicPr>
        <xdr:cNvPr id="11" name="Picture 1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37272" y="1511109"/>
          <a:ext cx="1968501" cy="149071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2</xdr:col>
      <xdr:colOff>298450</xdr:colOff>
      <xdr:row>10</xdr:row>
      <xdr:rowOff>95250</xdr:rowOff>
    </xdr:from>
    <xdr:to>
      <xdr:col>8</xdr:col>
      <xdr:colOff>299950</xdr:colOff>
      <xdr:row>25</xdr:row>
      <xdr:rowOff>36635</xdr:rowOff>
    </xdr:to>
    <mc:AlternateContent xmlns:mc="http://schemas.openxmlformats.org/markup-compatibility/2006" xmlns:a14="http://schemas.microsoft.com/office/drawing/2010/main">
      <mc:Choice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0135" y="2010603"/>
              <a:ext cx="3684104" cy="2672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117743</xdr:colOff>
      <xdr:row>28</xdr:row>
      <xdr:rowOff>121414</xdr:rowOff>
    </xdr:from>
    <xdr:to>
      <xdr:col>24</xdr:col>
      <xdr:colOff>495857</xdr:colOff>
      <xdr:row>66</xdr:row>
      <xdr:rowOff>63687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349494</xdr:colOff>
      <xdr:row>29</xdr:row>
      <xdr:rowOff>36636</xdr:rowOff>
    </xdr:from>
    <xdr:to>
      <xdr:col>40</xdr:col>
      <xdr:colOff>219808</xdr:colOff>
      <xdr:row>66</xdr:row>
      <xdr:rowOff>36636</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366346</xdr:colOff>
      <xdr:row>26</xdr:row>
      <xdr:rowOff>73268</xdr:rowOff>
    </xdr:from>
    <xdr:to>
      <xdr:col>8</xdr:col>
      <xdr:colOff>293076</xdr:colOff>
      <xdr:row>44</xdr:row>
      <xdr:rowOff>146538</xdr:rowOff>
    </xdr:to>
    <mc:AlternateContent xmlns:mc="http://schemas.openxmlformats.org/markup-compatibility/2006" xmlns:a14="http://schemas.microsoft.com/office/drawing/2010/main">
      <mc:Choice Requires="a14">
        <xdr:graphicFrame macro="">
          <xdr:nvGraphicFramePr>
            <xdr:cNvPr id="13" name="Warehouse"/>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1578619" y="5326450"/>
              <a:ext cx="3563548" cy="3710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514716</xdr:colOff>
      <xdr:row>29</xdr:row>
      <xdr:rowOff>47623</xdr:rowOff>
    </xdr:from>
    <xdr:to>
      <xdr:col>56</xdr:col>
      <xdr:colOff>514715</xdr:colOff>
      <xdr:row>66</xdr:row>
      <xdr:rowOff>38466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357909</xdr:colOff>
      <xdr:row>45</xdr:row>
      <xdr:rowOff>158750</xdr:rowOff>
    </xdr:from>
    <xdr:to>
      <xdr:col>8</xdr:col>
      <xdr:colOff>262659</xdr:colOff>
      <xdr:row>65</xdr:row>
      <xdr:rowOff>152977</xdr:rowOff>
    </xdr:to>
    <mc:AlternateContent xmlns:mc="http://schemas.openxmlformats.org/markup-compatibility/2006" xmlns:a14="http://schemas.microsoft.com/office/drawing/2010/main">
      <mc:Choice Requires="a14">
        <xdr:graphicFrame macro="">
          <xdr:nvGraphicFramePr>
            <xdr:cNvPr id="20" name="clean date"/>
            <xdr:cNvGraphicFramePr/>
          </xdr:nvGraphicFramePr>
          <xdr:xfrm>
            <a:off x="0" y="0"/>
            <a:ext cx="0" cy="0"/>
          </xdr:xfrm>
          <a:graphic>
            <a:graphicData uri="http://schemas.microsoft.com/office/drawing/2010/slicer">
              <sle:slicer xmlns:sle="http://schemas.microsoft.com/office/drawing/2010/slicer" name="clean date"/>
            </a:graphicData>
          </a:graphic>
        </xdr:graphicFrame>
      </mc:Choice>
      <mc:Fallback xmlns="">
        <xdr:sp macro="" textlink="">
          <xdr:nvSpPr>
            <xdr:cNvPr id="0" name=""/>
            <xdr:cNvSpPr>
              <a:spLocks noTextEdit="1"/>
            </xdr:cNvSpPr>
          </xdr:nvSpPr>
          <xdr:spPr>
            <a:xfrm>
              <a:off x="1564409" y="8731250"/>
              <a:ext cx="3524250" cy="3804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144318</xdr:colOff>
      <xdr:row>6</xdr:row>
      <xdr:rowOff>144317</xdr:rowOff>
    </xdr:from>
    <xdr:to>
      <xdr:col>56</xdr:col>
      <xdr:colOff>86591</xdr:colOff>
      <xdr:row>19</xdr:row>
      <xdr:rowOff>115453</xdr:rowOff>
    </xdr:to>
    <xdr:pic>
      <xdr:nvPicPr>
        <xdr:cNvPr id="22" name="Picture 21"/>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057273" y="1356590"/>
          <a:ext cx="2972954" cy="2597727"/>
        </a:xfrm>
        <a:prstGeom prst="rect">
          <a:avLst/>
        </a:prstGeom>
      </xdr:spPr>
    </xdr:pic>
    <xdr:clientData/>
  </xdr:twoCellAnchor>
  <xdr:twoCellAnchor editAs="oneCell">
    <xdr:from>
      <xdr:col>9</xdr:col>
      <xdr:colOff>259772</xdr:colOff>
      <xdr:row>67</xdr:row>
      <xdr:rowOff>57727</xdr:rowOff>
    </xdr:from>
    <xdr:to>
      <xdr:col>19</xdr:col>
      <xdr:colOff>417945</xdr:colOff>
      <xdr:row>79</xdr:row>
      <xdr:rowOff>180043</xdr:rowOff>
    </xdr:to>
    <xdr:pic>
      <xdr:nvPicPr>
        <xdr:cNvPr id="23" name="Picture 22"/>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14999" y="13594772"/>
          <a:ext cx="6219537" cy="254686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31</xdr:col>
      <xdr:colOff>461818</xdr:colOff>
      <xdr:row>67</xdr:row>
      <xdr:rowOff>144319</xdr:rowOff>
    </xdr:from>
    <xdr:to>
      <xdr:col>42</xdr:col>
      <xdr:colOff>173183</xdr:colOff>
      <xdr:row>79</xdr:row>
      <xdr:rowOff>115454</xdr:rowOff>
    </xdr:to>
    <xdr:pic>
      <xdr:nvPicPr>
        <xdr:cNvPr id="24" name="Picture 2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252045" y="13681364"/>
          <a:ext cx="6378865" cy="239568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20</xdr:col>
      <xdr:colOff>346365</xdr:colOff>
      <xdr:row>67</xdr:row>
      <xdr:rowOff>115455</xdr:rowOff>
    </xdr:from>
    <xdr:to>
      <xdr:col>30</xdr:col>
      <xdr:colOff>404091</xdr:colOff>
      <xdr:row>79</xdr:row>
      <xdr:rowOff>160317</xdr:rowOff>
    </xdr:to>
    <xdr:pic>
      <xdr:nvPicPr>
        <xdr:cNvPr id="25" name="Picture 24"/>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469092" y="13652500"/>
          <a:ext cx="6119090" cy="246940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43</xdr:col>
      <xdr:colOff>440763</xdr:colOff>
      <xdr:row>67</xdr:row>
      <xdr:rowOff>127000</xdr:rowOff>
    </xdr:from>
    <xdr:to>
      <xdr:col>54</xdr:col>
      <xdr:colOff>31750</xdr:colOff>
      <xdr:row>79</xdr:row>
      <xdr:rowOff>84791</xdr:rowOff>
    </xdr:to>
    <xdr:pic>
      <xdr:nvPicPr>
        <xdr:cNvPr id="26" name="Picture 25"/>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6380513" y="12890500"/>
          <a:ext cx="6226737" cy="224379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57</xdr:col>
      <xdr:colOff>285750</xdr:colOff>
      <xdr:row>29</xdr:row>
      <xdr:rowOff>31750</xdr:rowOff>
    </xdr:from>
    <xdr:to>
      <xdr:col>63</xdr:col>
      <xdr:colOff>285750</xdr:colOff>
      <xdr:row>44</xdr:row>
      <xdr:rowOff>0</xdr:rowOff>
    </xdr:to>
    <xdr:pic>
      <xdr:nvPicPr>
        <xdr:cNvPr id="12" name="Picture 11"/>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4671000" y="5556250"/>
          <a:ext cx="3619500" cy="2825750"/>
        </a:xfrm>
        <a:prstGeom prst="rect">
          <a:avLst/>
        </a:prstGeom>
        <a:ln>
          <a:noFill/>
        </a:ln>
        <a:effectLst>
          <a:softEdge rad="112500"/>
        </a:effectLst>
      </xdr:spPr>
    </xdr:pic>
    <xdr:clientData/>
  </xdr:twoCellAnchor>
  <xdr:twoCellAnchor>
    <xdr:from>
      <xdr:col>57</xdr:col>
      <xdr:colOff>127000</xdr:colOff>
      <xdr:row>28</xdr:row>
      <xdr:rowOff>95250</xdr:rowOff>
    </xdr:from>
    <xdr:to>
      <xdr:col>63</xdr:col>
      <xdr:colOff>412750</xdr:colOff>
      <xdr:row>45</xdr:row>
      <xdr:rowOff>63500</xdr:rowOff>
    </xdr:to>
    <xdr:sp macro="" textlink="">
      <xdr:nvSpPr>
        <xdr:cNvPr id="14" name="Rounded Rectangle 13"/>
        <xdr:cNvSpPr/>
      </xdr:nvSpPr>
      <xdr:spPr>
        <a:xfrm>
          <a:off x="34512250" y="5429250"/>
          <a:ext cx="3905250" cy="3206750"/>
        </a:xfrm>
        <a:prstGeom prst="round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57</xdr:col>
      <xdr:colOff>317500</xdr:colOff>
      <xdr:row>48</xdr:row>
      <xdr:rowOff>95250</xdr:rowOff>
    </xdr:from>
    <xdr:to>
      <xdr:col>63</xdr:col>
      <xdr:colOff>317500</xdr:colOff>
      <xdr:row>63</xdr:row>
      <xdr:rowOff>95250</xdr:rowOff>
    </xdr:to>
    <xdr:pic>
      <xdr:nvPicPr>
        <xdr:cNvPr id="15" name="Picture 14"/>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4702750" y="9239250"/>
          <a:ext cx="3619500" cy="2857500"/>
        </a:xfrm>
        <a:prstGeom prst="rect">
          <a:avLst/>
        </a:prstGeom>
        <a:ln>
          <a:noFill/>
        </a:ln>
        <a:effectLst>
          <a:softEdge rad="112500"/>
        </a:effectLst>
      </xdr:spPr>
    </xdr:pic>
    <xdr:clientData/>
  </xdr:twoCellAnchor>
  <xdr:twoCellAnchor>
    <xdr:from>
      <xdr:col>57</xdr:col>
      <xdr:colOff>63500</xdr:colOff>
      <xdr:row>46</xdr:row>
      <xdr:rowOff>31750</xdr:rowOff>
    </xdr:from>
    <xdr:to>
      <xdr:col>63</xdr:col>
      <xdr:colOff>539750</xdr:colOff>
      <xdr:row>65</xdr:row>
      <xdr:rowOff>31750</xdr:rowOff>
    </xdr:to>
    <xdr:sp macro="" textlink="">
      <xdr:nvSpPr>
        <xdr:cNvPr id="21" name="Rounded Rectangle 20"/>
        <xdr:cNvSpPr/>
      </xdr:nvSpPr>
      <xdr:spPr>
        <a:xfrm>
          <a:off x="34448750" y="8794750"/>
          <a:ext cx="4095750" cy="361950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75.986642361109" createdVersion="5" refreshedVersion="5" minRefreshableVersion="3" recordCount="300">
  <cacheSource type="worksheet">
    <worksheetSource ref="A1:R301" sheet="Messy Raw Data"/>
  </cacheSource>
  <cacheFields count="19">
    <cacheField name="Order ID" numFmtId="0">
      <sharedItems/>
    </cacheField>
    <cacheField name="Product ID" numFmtId="0">
      <sharedItems/>
    </cacheField>
    <cacheField name="Product Name" numFmtId="0">
      <sharedItems count="22">
        <s v="Notebook"/>
        <s v="Power Bank"/>
        <s v="Wireless Mouse"/>
        <s v="Monitor"/>
        <s v="Filing Cabinet"/>
        <s v="USB Cable"/>
        <s v="Whiteboard"/>
        <s v="Backpack"/>
        <s v="Keyboard"/>
        <s v="Webcam"/>
        <s v="Desk Lamp"/>
        <s v="Headphones"/>
        <s v="Printer"/>
        <s v="Router"/>
        <s v="Laptop"/>
        <s v="Office Chair"/>
        <s v="External SSD"/>
        <s v=" Webcam"/>
        <s v="Pen Pack"/>
        <s v="Office Desk"/>
        <s v="Stapler"/>
        <s v=" Whiteboard"/>
      </sharedItems>
    </cacheField>
    <cacheField name="Category" numFmtId="0">
      <sharedItems/>
    </cacheField>
    <cacheField name="Supplier" numFmtId="0">
      <sharedItems/>
    </cacheField>
    <cacheField name="Warehouse" numFmtId="0">
      <sharedItems count="4">
        <s v="Delhi"/>
        <s v="Patna"/>
        <s v="Mumbai"/>
        <s v="Kolkata"/>
      </sharedItems>
    </cacheField>
    <cacheField name="Region" numFmtId="0">
      <sharedItems count="3">
        <s v="North"/>
        <s v="East"/>
        <s v="West"/>
      </sharedItems>
    </cacheField>
    <cacheField name="clean date" numFmtId="14">
      <sharedItems containsSemiMixedTypes="0" containsNonDate="0" containsDate="1" containsString="0" minDate="2025-01-01T00:00:00" maxDate="2026-01-01T00:00:00" count="203">
        <d v="2025-07-22T00:00:00"/>
        <d v="2025-01-20T00:00:00"/>
        <d v="2025-04-25T00:00:00"/>
        <d v="2025-05-29T00:00:00"/>
        <d v="2025-07-10T00:00:00"/>
        <d v="2025-10-06T00:00:00"/>
        <d v="2025-10-22T00:00:00"/>
        <d v="2025-03-02T00:00:00"/>
        <d v="2025-12-09T00:00:00"/>
        <d v="2025-05-19T00:00:00"/>
        <d v="2025-05-28T00:00:00"/>
        <d v="2025-03-12T00:00:00"/>
        <d v="2025-12-02T00:00:00"/>
        <d v="2025-03-01T00:00:00"/>
        <d v="2025-08-22T00:00:00"/>
        <d v="2025-04-08T00:00:00"/>
        <d v="2025-10-18T00:00:00"/>
        <d v="2025-03-18T00:00:00"/>
        <d v="2025-09-03T00:00:00"/>
        <d v="2025-09-22T00:00:00"/>
        <d v="2025-11-26T00:00:00"/>
        <d v="2025-11-22T00:00:00"/>
        <d v="2025-02-07T00:00:00"/>
        <d v="2025-08-17T00:00:00"/>
        <d v="2025-06-22T00:00:00"/>
        <d v="2025-12-31T00:00:00"/>
        <d v="2025-08-26T00:00:00"/>
        <d v="2025-10-30T00:00:00"/>
        <d v="2025-11-01T00:00:00"/>
        <d v="2025-05-09T00:00:00"/>
        <d v="2025-01-07T00:00:00"/>
        <d v="2025-08-14T00:00:00"/>
        <d v="2025-10-12T00:00:00"/>
        <d v="2025-05-08T00:00:00"/>
        <d v="2025-06-16T00:00:00"/>
        <d v="2025-12-24T00:00:00"/>
        <d v="2025-06-11T00:00:00"/>
        <d v="2025-09-07T00:00:00"/>
        <d v="2025-04-11T00:00:00"/>
        <d v="2025-07-16T00:00:00"/>
        <d v="2025-05-16T00:00:00"/>
        <d v="2025-02-10T00:00:00"/>
        <d v="2025-05-18T00:00:00"/>
        <d v="2025-06-23T00:00:00"/>
        <d v="2025-05-15T00:00:00"/>
        <d v="2025-09-14T00:00:00"/>
        <d v="2025-09-16T00:00:00"/>
        <d v="2025-10-07T00:00:00"/>
        <d v="2025-07-27T00:00:00"/>
        <d v="2025-01-29T00:00:00"/>
        <d v="2025-12-21T00:00:00"/>
        <d v="2025-06-18T00:00:00"/>
        <d v="2025-07-15T00:00:00"/>
        <d v="2025-02-15T00:00:00"/>
        <d v="2025-12-03T00:00:00"/>
        <d v="2025-11-13T00:00:00"/>
        <d v="2025-12-18T00:00:00"/>
        <d v="2025-08-20T00:00:00"/>
        <d v="2025-02-08T00:00:00"/>
        <d v="2025-12-17T00:00:00"/>
        <d v="2025-03-14T00:00:00"/>
        <d v="2025-04-29T00:00:00"/>
        <d v="2025-06-04T00:00:00"/>
        <d v="2025-02-03T00:00:00"/>
        <d v="2025-01-27T00:00:00"/>
        <d v="2025-02-11T00:00:00"/>
        <d v="2025-10-09T00:00:00"/>
        <d v="2025-02-12T00:00:00"/>
        <d v="2025-10-08T00:00:00"/>
        <d v="2025-05-13T00:00:00"/>
        <d v="2025-09-26T00:00:00"/>
        <d v="2025-02-17T00:00:00"/>
        <d v="2025-01-17T00:00:00"/>
        <d v="2025-08-18T00:00:00"/>
        <d v="2025-10-10T00:00:00"/>
        <d v="2025-11-17T00:00:00"/>
        <d v="2025-07-18T00:00:00"/>
        <d v="2025-11-27T00:00:00"/>
        <d v="2025-04-27T00:00:00"/>
        <d v="2025-05-30T00:00:00"/>
        <d v="2025-08-27T00:00:00"/>
        <d v="2025-12-07T00:00:00"/>
        <d v="2025-08-01T00:00:00"/>
        <d v="2025-03-26T00:00:00"/>
        <d v="2025-07-11T00:00:00"/>
        <d v="2025-03-05T00:00:00"/>
        <d v="2025-12-28T00:00:00"/>
        <d v="2025-11-20T00:00:00"/>
        <d v="2025-04-10T00:00:00"/>
        <d v="2025-05-22T00:00:00"/>
        <d v="2025-08-09T00:00:00"/>
        <d v="2025-06-17T00:00:00"/>
        <d v="2025-07-28T00:00:00"/>
        <d v="2025-02-06T00:00:00"/>
        <d v="2025-03-10T00:00:00"/>
        <d v="2025-05-24T00:00:00"/>
        <d v="2025-01-05T00:00:00"/>
        <d v="2025-11-29T00:00:00"/>
        <d v="2025-01-21T00:00:00"/>
        <d v="2025-09-20T00:00:00"/>
        <d v="2025-08-07T00:00:00"/>
        <d v="2025-07-29T00:00:00"/>
        <d v="2025-02-02T00:00:00"/>
        <d v="2025-12-23T00:00:00"/>
        <d v="2025-08-11T00:00:00"/>
        <d v="2025-03-08T00:00:00"/>
        <d v="2025-03-16T00:00:00"/>
        <d v="2025-04-12T00:00:00"/>
        <d v="2025-11-24T00:00:00"/>
        <d v="2025-01-22T00:00:00"/>
        <d v="2025-10-15T00:00:00"/>
        <d v="2025-04-02T00:00:00"/>
        <d v="2025-07-24T00:00:00"/>
        <d v="2025-12-01T00:00:00"/>
        <d v="2025-09-09T00:00:00"/>
        <d v="2025-11-11T00:00:00"/>
        <d v="2025-11-12T00:00:00"/>
        <d v="2025-12-14T00:00:00"/>
        <d v="2025-06-01T00:00:00"/>
        <d v="2025-04-24T00:00:00"/>
        <d v="2025-10-01T00:00:00"/>
        <d v="2025-01-01T00:00:00"/>
        <d v="2025-09-18T00:00:00"/>
        <d v="2025-07-12T00:00:00"/>
        <d v="2025-05-01T00:00:00"/>
        <d v="2025-04-30T00:00:00"/>
        <d v="2025-01-14T00:00:00"/>
        <d v="2025-04-13T00:00:00"/>
        <d v="2025-04-16T00:00:00"/>
        <d v="2025-03-09T00:00:00"/>
        <d v="2025-05-12T00:00:00"/>
        <d v="2025-07-31T00:00:00"/>
        <d v="2025-02-16T00:00:00"/>
        <d v="2025-06-28T00:00:00"/>
        <d v="2025-10-23T00:00:00"/>
        <d v="2025-08-24T00:00:00"/>
        <d v="2025-03-28T00:00:00"/>
        <d v="2025-05-17T00:00:00"/>
        <d v="2025-03-24T00:00:00"/>
        <d v="2025-03-19T00:00:00"/>
        <d v="2025-04-28T00:00:00"/>
        <d v="2025-05-14T00:00:00"/>
        <d v="2025-09-05T00:00:00"/>
        <d v="2025-02-21T00:00:00"/>
        <d v="2025-07-30T00:00:00"/>
        <d v="2025-11-23T00:00:00"/>
        <d v="2025-11-18T00:00:00"/>
        <d v="2025-07-20T00:00:00"/>
        <d v="2025-05-06T00:00:00"/>
        <d v="2025-11-21T00:00:00"/>
        <d v="2025-10-24T00:00:00"/>
        <d v="2025-12-25T00:00:00"/>
        <d v="2025-08-28T00:00:00"/>
        <d v="2025-12-13T00:00:00"/>
        <d v="2025-09-19T00:00:00"/>
        <d v="2025-06-25T00:00:00"/>
        <d v="2025-09-15T00:00:00"/>
        <d v="2025-06-03T00:00:00"/>
        <d v="2025-12-06T00:00:00"/>
        <d v="2025-06-08T00:00:00"/>
        <d v="2025-09-12T00:00:00"/>
        <d v="2025-08-19T00:00:00"/>
        <d v="2025-01-02T00:00:00"/>
        <d v="2025-11-19T00:00:00"/>
        <d v="2025-02-01T00:00:00"/>
        <d v="2025-05-07T00:00:00"/>
        <d v="2025-05-21T00:00:00"/>
        <d v="2025-07-17T00:00:00"/>
        <d v="2025-09-25T00:00:00"/>
        <d v="2025-09-23T00:00:00"/>
        <d v="2025-04-04T00:00:00"/>
        <d v="2025-06-15T00:00:00"/>
        <d v="2025-03-15T00:00:00"/>
        <d v="2025-01-30T00:00:00"/>
        <d v="2025-05-27T00:00:00"/>
        <d v="2025-07-19T00:00:00"/>
        <d v="2025-10-26T00:00:00"/>
        <d v="2025-06-21T00:00:00"/>
        <d v="2025-06-29T00:00:00"/>
        <d v="2025-02-26T00:00:00"/>
        <d v="2025-07-25T00:00:00"/>
        <d v="2025-01-18T00:00:00"/>
        <d v="2025-06-27T00:00:00"/>
        <d v="2025-02-14T00:00:00"/>
        <d v="2025-01-16T00:00:00"/>
        <d v="2025-03-25T00:00:00"/>
        <d v="2025-01-12T00:00:00"/>
        <d v="2025-10-20T00:00:00"/>
        <d v="2025-06-30T00:00:00"/>
        <d v="2025-07-14T00:00:00"/>
        <d v="2025-10-25T00:00:00"/>
        <d v="2025-02-20T00:00:00"/>
        <d v="2025-06-12T00:00:00"/>
        <d v="2025-01-31T00:00:00"/>
        <d v="2025-12-12T00:00:00"/>
        <d v="2025-02-28T00:00:00"/>
        <d v="2025-10-11T00:00:00"/>
        <d v="2025-06-02T00:00:00"/>
        <d v="2025-10-28T00:00:00"/>
        <d v="2025-10-05T00:00:00"/>
        <d v="2025-12-22T00:00:00"/>
        <d v="2025-05-25T00:00:00"/>
        <d v="2025-01-23T00:00:00"/>
      </sharedItems>
      <fieldGroup par="18" base="7">
        <rangePr groupBy="months" startDate="2025-01-01T00:00:00" endDate="2026-01-01T00:00:00"/>
        <groupItems count="14">
          <s v="&lt;01-01-2025"/>
          <s v="Jan"/>
          <s v="Feb"/>
          <s v="Mar"/>
          <s v="Apr"/>
          <s v="May"/>
          <s v="Jun"/>
          <s v="Jul"/>
          <s v="Aug"/>
          <s v="Sep"/>
          <s v="Oct"/>
          <s v="Nov"/>
          <s v="Dec"/>
          <s v="&gt;01-01-2026"/>
        </groupItems>
      </fieldGroup>
    </cacheField>
    <cacheField name="Quantity Ordered" numFmtId="0">
      <sharedItems containsSemiMixedTypes="0" containsString="0" containsNumber="1" containsInteger="1" minValue="7" maxValue="220"/>
    </cacheField>
    <cacheField name="Quantity Sold" numFmtId="0">
      <sharedItems containsString="0" containsBlank="1" containsNumber="1" containsInteger="1" minValue="0" maxValue="209"/>
    </cacheField>
    <cacheField name="Unit Cost" numFmtId="0">
      <sharedItems containsSemiMixedTypes="0" containsString="0" containsNumber="1" containsInteger="1" minValue="45" maxValue="42000"/>
    </cacheField>
    <cacheField name="Unit Price" numFmtId="0">
      <sharedItems containsSemiMixedTypes="0" containsString="0" containsNumber="1" containsInteger="1" minValue="80" maxValue="52000"/>
    </cacheField>
    <cacheField name="Current Stock" numFmtId="0">
      <sharedItems containsString="0" containsBlank="1" containsNumber="1" containsInteger="1" minValue="3" maxValue="280"/>
    </cacheField>
    <cacheField name="Reorder Level" numFmtId="0">
      <sharedItems containsSemiMixedTypes="0" containsString="0" containsNumber="1" containsInteger="1" minValue="20" maxValue="80"/>
    </cacheField>
    <cacheField name="Lead Time (Days)" numFmtId="0">
      <sharedItems containsMixedTypes="1" containsNumber="1" containsInteger="1" minValue="2" maxValue="20"/>
    </cacheField>
    <cacheField name="Order Status" numFmtId="0">
      <sharedItems count="5">
        <s v="Delivered"/>
        <s v="In Transit"/>
        <s v="Cancelled"/>
        <s v="Pending"/>
        <s v="Delivered "/>
      </sharedItems>
    </cacheField>
    <cacheField name="Total Sales" numFmtId="164">
      <sharedItems containsSemiMixedTypes="0" containsString="0" containsNumber="1" containsInteger="1" minValue="0" maxValue="8788000"/>
    </cacheField>
    <cacheField name="Total Profit" numFmtId="164">
      <sharedItems containsSemiMixedTypes="0" containsString="0" containsNumber="1" containsInteger="1" minValue="-1005000" maxValue="1690000"/>
    </cacheField>
    <cacheField name="Years" numFmtId="0" databaseField="0">
      <fieldGroup base="7">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s v="ORD0001"/>
    <s v="P011"/>
    <x v="0"/>
    <s v="Stationery"/>
    <s v="PaperPlus"/>
    <x v="0"/>
    <x v="0"/>
    <x v="0"/>
    <n v="171"/>
    <n v="12"/>
    <n v="45"/>
    <n v="80"/>
    <n v="40"/>
    <n v="72"/>
    <n v="19"/>
    <x v="0"/>
    <n v="960"/>
    <n v="420"/>
  </r>
  <r>
    <s v="ORD0002"/>
    <s v="P017"/>
    <x v="1"/>
    <s v="Accessories"/>
    <s v="PowerTech"/>
    <x v="0"/>
    <x v="0"/>
    <x v="1"/>
    <n v="27"/>
    <n v="13"/>
    <n v="900"/>
    <n v="1400"/>
    <n v="217"/>
    <n v="24"/>
    <n v="9"/>
    <x v="0"/>
    <n v="18200"/>
    <n v="6500"/>
  </r>
  <r>
    <s v="ORD0003"/>
    <s v="P002"/>
    <x v="2"/>
    <s v="Electronics"/>
    <s v="TechSupply"/>
    <x v="1"/>
    <x v="1"/>
    <x v="2"/>
    <n v="166"/>
    <n v="160"/>
    <n v="450"/>
    <n v="700"/>
    <n v="34"/>
    <n v="56"/>
    <n v="20"/>
    <x v="0"/>
    <n v="112000"/>
    <n v="40000"/>
  </r>
  <r>
    <s v="ORD0004"/>
    <s v="P002"/>
    <x v="2"/>
    <s v="Electronics"/>
    <s v="TechSupply"/>
    <x v="0"/>
    <x v="0"/>
    <x v="3"/>
    <n v="112"/>
    <n v="18"/>
    <n v="450"/>
    <n v="700"/>
    <n v="279"/>
    <n v="27"/>
    <n v="20"/>
    <x v="0"/>
    <n v="12600"/>
    <n v="4500"/>
  </r>
  <r>
    <s v="ORD0005"/>
    <s v="P004"/>
    <x v="3"/>
    <s v="Electronics"/>
    <s v="DisplayPro"/>
    <x v="0"/>
    <x v="0"/>
    <x v="4"/>
    <n v="29"/>
    <n v="17"/>
    <n v="8500"/>
    <n v="11000"/>
    <n v="35"/>
    <n v="56"/>
    <n v="3"/>
    <x v="0"/>
    <n v="187000"/>
    <n v="42500"/>
  </r>
  <r>
    <s v="ORD0006"/>
    <s v="P018"/>
    <x v="4"/>
    <s v="Furniture"/>
    <s v="OfficeStore"/>
    <x v="2"/>
    <x v="2"/>
    <x v="5"/>
    <n v="124"/>
    <n v="74"/>
    <n v="5000"/>
    <n v="7000"/>
    <n v="235"/>
    <n v="43"/>
    <n v="11"/>
    <x v="0"/>
    <n v="518000"/>
    <n v="148000"/>
  </r>
  <r>
    <s v="ORD0007"/>
    <s v="P008"/>
    <x v="5"/>
    <s v="Accessories"/>
    <s v="CableHub"/>
    <x v="1"/>
    <x v="1"/>
    <x v="6"/>
    <n v="81"/>
    <n v="67"/>
    <n v="120"/>
    <n v="250"/>
    <n v="256"/>
    <n v="76"/>
    <n v="12"/>
    <x v="1"/>
    <n v="16750"/>
    <n v="8710"/>
  </r>
  <r>
    <s v="ORD0008"/>
    <s v="P020"/>
    <x v="6"/>
    <s v="Stationery"/>
    <s v="OfficeStore"/>
    <x v="1"/>
    <x v="1"/>
    <x v="7"/>
    <n v="136"/>
    <n v="107"/>
    <n v="1200"/>
    <n v="1800"/>
    <n v="87"/>
    <n v="68"/>
    <n v="12"/>
    <x v="0"/>
    <n v="192600"/>
    <n v="64200"/>
  </r>
  <r>
    <s v="ORD0009"/>
    <s v="P014"/>
    <x v="7"/>
    <s v="Accessories"/>
    <s v="BagZone"/>
    <x v="1"/>
    <x v="1"/>
    <x v="8"/>
    <n v="24"/>
    <n v="24"/>
    <n v="900"/>
    <n v="1400"/>
    <n v="163"/>
    <n v="41"/>
    <n v="13"/>
    <x v="0"/>
    <n v="33600"/>
    <n v="12000"/>
  </r>
  <r>
    <s v="ORD0010"/>
    <s v="P003"/>
    <x v="8"/>
    <s v="Electronics"/>
    <s v="TechSupply"/>
    <x v="1"/>
    <x v="1"/>
    <x v="9"/>
    <n v="126"/>
    <n v="89"/>
    <n v="800"/>
    <n v="1200"/>
    <n v="36"/>
    <n v="23"/>
    <n v="11"/>
    <x v="0"/>
    <n v="106800"/>
    <n v="35600"/>
  </r>
  <r>
    <s v="ORD0011"/>
    <s v="P010"/>
    <x v="9"/>
    <s v="Electronics"/>
    <s v="VisionTech"/>
    <x v="2"/>
    <x v="2"/>
    <x v="8"/>
    <n v="93"/>
    <n v="2"/>
    <n v="1800"/>
    <n v="2800"/>
    <n v="239"/>
    <n v="42"/>
    <n v="7"/>
    <x v="0"/>
    <n v="5600"/>
    <n v="2000"/>
  </r>
  <r>
    <s v="ORD0012"/>
    <s v="P002"/>
    <x v="2"/>
    <s v="Electronics"/>
    <s v="TechSupply"/>
    <x v="0"/>
    <x v="0"/>
    <x v="10"/>
    <n v="38"/>
    <n v="15"/>
    <n v="450"/>
    <n v="700"/>
    <n v="206"/>
    <n v="45"/>
    <n v="17"/>
    <x v="0"/>
    <n v="10500"/>
    <n v="3750"/>
  </r>
  <r>
    <s v="ORD0013"/>
    <s v="P013"/>
    <x v="10"/>
    <s v="Furniture"/>
    <s v=" LightHouse  "/>
    <x v="3"/>
    <x v="1"/>
    <x v="11"/>
    <n v="214"/>
    <n v="110"/>
    <n v="650"/>
    <n v="1000"/>
    <n v="145"/>
    <n v="65"/>
    <n v="15"/>
    <x v="2"/>
    <n v="110000"/>
    <n v="38500"/>
  </r>
  <r>
    <s v="ORD0014"/>
    <s v="P008"/>
    <x v="5"/>
    <s v="Accessories"/>
    <s v="CableHub"/>
    <x v="0"/>
    <x v="0"/>
    <x v="12"/>
    <n v="50"/>
    <n v="9"/>
    <n v="120"/>
    <n v="250"/>
    <n v="121"/>
    <n v="62"/>
    <n v="9"/>
    <x v="0"/>
    <n v="2250"/>
    <n v="1170"/>
  </r>
  <r>
    <s v="ORD0015"/>
    <s v="P009"/>
    <x v="11"/>
    <s v="Electronics"/>
    <s v="AudioWorld"/>
    <x v="3"/>
    <x v="1"/>
    <x v="13"/>
    <n v="42"/>
    <n v="26"/>
    <n v="900"/>
    <n v="1500"/>
    <m/>
    <n v="43"/>
    <n v="20"/>
    <x v="0"/>
    <n v="39000"/>
    <n v="15600"/>
  </r>
  <r>
    <s v="ORD0016"/>
    <s v="P017"/>
    <x v="1"/>
    <s v="Accessories"/>
    <s v="PowerTech"/>
    <x v="1"/>
    <x v="1"/>
    <x v="14"/>
    <n v="204"/>
    <n v="174"/>
    <n v="900"/>
    <n v="1400"/>
    <n v="203"/>
    <n v="45"/>
    <n v="14"/>
    <x v="0"/>
    <n v="243600"/>
    <n v="87000"/>
  </r>
  <r>
    <s v="ORD0017"/>
    <s v="P013"/>
    <x v="10"/>
    <s v="Furniture"/>
    <s v="LightHouse"/>
    <x v="1"/>
    <x v="1"/>
    <x v="15"/>
    <n v="22"/>
    <n v="6"/>
    <n v="650"/>
    <n v="1000"/>
    <n v="228"/>
    <n v="30"/>
    <n v="5"/>
    <x v="0"/>
    <n v="6000"/>
    <n v="2100"/>
  </r>
  <r>
    <s v="ORD0018"/>
    <s v="P004"/>
    <x v="3"/>
    <s v="Electronics"/>
    <s v="DisplayPro"/>
    <x v="1"/>
    <x v="1"/>
    <x v="16"/>
    <n v="43"/>
    <n v="34"/>
    <n v="8500"/>
    <n v="11000"/>
    <n v="54"/>
    <n v="80"/>
    <n v="13"/>
    <x v="0"/>
    <n v="374000"/>
    <n v="85000"/>
  </r>
  <r>
    <s v="ORD0019"/>
    <s v="P007"/>
    <x v="12"/>
    <s v="Electonic"/>
    <s v="PrintMax"/>
    <x v="2"/>
    <x v="2"/>
    <x v="17"/>
    <n v="167"/>
    <n v="64"/>
    <n v="9000"/>
    <n v="12500"/>
    <n v="180"/>
    <n v="58"/>
    <n v="13"/>
    <x v="0"/>
    <n v="800000"/>
    <n v="224000"/>
  </r>
  <r>
    <s v="ORD0020"/>
    <s v="P016"/>
    <x v="13"/>
    <s v="Electronics"/>
    <s v="NetConnect"/>
    <x v="2"/>
    <x v="2"/>
    <x v="18"/>
    <n v="128"/>
    <n v="79"/>
    <n v="1600"/>
    <n v="2500"/>
    <n v="46"/>
    <n v="29"/>
    <n v="5"/>
    <x v="1"/>
    <n v="197500"/>
    <n v="71100"/>
  </r>
  <r>
    <s v="ORD0021"/>
    <s v="P016"/>
    <x v="13"/>
    <s v="Electronics"/>
    <s v="NetConnect"/>
    <x v="0"/>
    <x v="0"/>
    <x v="19"/>
    <n v="10"/>
    <n v="3"/>
    <n v="1600"/>
    <n v="2500"/>
    <n v="273"/>
    <n v="43"/>
    <n v="6"/>
    <x v="1"/>
    <n v="7500"/>
    <n v="2700"/>
  </r>
  <r>
    <s v="ORD0022"/>
    <s v="P017"/>
    <x v="1"/>
    <s v="Accessories"/>
    <s v="PowerTech"/>
    <x v="3"/>
    <x v="1"/>
    <x v="20"/>
    <n v="28"/>
    <n v="22"/>
    <n v="900"/>
    <n v="1400"/>
    <n v="136"/>
    <n v="53"/>
    <n v="13"/>
    <x v="3"/>
    <n v="30800"/>
    <n v="11000"/>
  </r>
  <r>
    <s v="ORD0023"/>
    <s v="P008"/>
    <x v="5"/>
    <s v="Accessories"/>
    <s v="CableHub"/>
    <x v="3"/>
    <x v="1"/>
    <x v="21"/>
    <n v="62"/>
    <n v="39"/>
    <n v="120"/>
    <n v="250"/>
    <n v="102"/>
    <n v="71"/>
    <n v="9"/>
    <x v="1"/>
    <n v="9750"/>
    <n v="5070"/>
  </r>
  <r>
    <s v="ORD0024"/>
    <s v="P007"/>
    <x v="12"/>
    <s v="Electronics"/>
    <s v="PrintMax"/>
    <x v="2"/>
    <x v="2"/>
    <x v="22"/>
    <n v="192"/>
    <n v="7"/>
    <n v="9000"/>
    <n v="12500"/>
    <n v="17"/>
    <n v="70"/>
    <n v="10"/>
    <x v="0"/>
    <n v="87500"/>
    <n v="24500"/>
  </r>
  <r>
    <s v="ORD0025"/>
    <s v="P020"/>
    <x v="6"/>
    <s v="Stationery"/>
    <s v="OfficeStore"/>
    <x v="3"/>
    <x v="1"/>
    <x v="23"/>
    <n v="211"/>
    <n v="185"/>
    <n v="1200"/>
    <n v="1800"/>
    <n v="181"/>
    <n v="43"/>
    <n v="4"/>
    <x v="0"/>
    <n v="333000"/>
    <n v="111000"/>
  </r>
  <r>
    <s v="ORD0026"/>
    <s v="P016"/>
    <x v="13"/>
    <s v="Electronics"/>
    <s v="NetConnect"/>
    <x v="0"/>
    <x v="0"/>
    <x v="24"/>
    <n v="57"/>
    <n v="30"/>
    <n v="1600"/>
    <n v="2500"/>
    <n v="3"/>
    <n v="50"/>
    <n v="13"/>
    <x v="1"/>
    <n v="75000"/>
    <n v="27000"/>
  </r>
  <r>
    <s v="ORD0027"/>
    <s v="P004"/>
    <x v="3"/>
    <s v="Electronics"/>
    <s v="DisplayPro"/>
    <x v="2"/>
    <x v="2"/>
    <x v="25"/>
    <n v="197"/>
    <n v="51"/>
    <n v="8500"/>
    <n v="11000"/>
    <n v="247"/>
    <n v="76"/>
    <n v="7"/>
    <x v="0"/>
    <n v="561000"/>
    <n v="127500"/>
  </r>
  <r>
    <s v="ORD0028"/>
    <s v="P003"/>
    <x v="8"/>
    <s v="Electronics"/>
    <s v="TechSupply"/>
    <x v="2"/>
    <x v="2"/>
    <x v="26"/>
    <n v="107"/>
    <n v="95"/>
    <n v="800"/>
    <n v="1200"/>
    <n v="46"/>
    <n v="66"/>
    <n v="7"/>
    <x v="4"/>
    <n v="114000"/>
    <n v="38000"/>
  </r>
  <r>
    <s v="ORD0029"/>
    <s v="P001"/>
    <x v="14"/>
    <s v="Electronics"/>
    <s v="TechSupply"/>
    <x v="0"/>
    <x v="0"/>
    <x v="27"/>
    <n v="124"/>
    <n v="103"/>
    <n v="42000"/>
    <n v="52000"/>
    <n v="77"/>
    <n v="59"/>
    <n v="17"/>
    <x v="1"/>
    <n v="5356000"/>
    <n v="1030000"/>
  </r>
  <r>
    <s v="ORD0030"/>
    <s v="P005"/>
    <x v="15"/>
    <s v="Furniture"/>
    <s v="ComfortWorks"/>
    <x v="0"/>
    <x v="0"/>
    <x v="28"/>
    <n v="8"/>
    <n v="1"/>
    <n v="5500"/>
    <n v="7500"/>
    <n v="272"/>
    <n v="67"/>
    <n v="6"/>
    <x v="0"/>
    <n v="7500"/>
    <n v="2000"/>
  </r>
  <r>
    <s v="ORD0031"/>
    <s v="P007"/>
    <x v="12"/>
    <s v="Electronics"/>
    <s v="PrintMax"/>
    <x v="1"/>
    <x v="1"/>
    <x v="29"/>
    <n v="59"/>
    <n v="18"/>
    <n v="9000"/>
    <n v="12500"/>
    <n v="259"/>
    <n v="35"/>
    <n v="20"/>
    <x v="0"/>
    <n v="225000"/>
    <n v="63000"/>
  </r>
  <r>
    <s v="ORD0032"/>
    <s v="P005"/>
    <x v="15"/>
    <s v="Furniture"/>
    <s v="ComfortWorks"/>
    <x v="1"/>
    <x v="1"/>
    <x v="30"/>
    <n v="122"/>
    <n v="84"/>
    <n v="5500"/>
    <n v="7500"/>
    <n v="267"/>
    <n v="46"/>
    <n v="18"/>
    <x v="0"/>
    <n v="630000"/>
    <n v="168000"/>
  </r>
  <r>
    <s v="ORD0033"/>
    <s v="P017"/>
    <x v="1"/>
    <s v="Accessories"/>
    <s v="PowerTech"/>
    <x v="1"/>
    <x v="1"/>
    <x v="31"/>
    <n v="203"/>
    <n v="46"/>
    <n v="900"/>
    <n v="1400"/>
    <n v="5"/>
    <n v="69"/>
    <n v="6"/>
    <x v="0"/>
    <n v="64400"/>
    <n v="23000"/>
  </r>
  <r>
    <s v="ORD0034"/>
    <s v="P020"/>
    <x v="6"/>
    <s v="Stationery"/>
    <s v="OfficeStore"/>
    <x v="1"/>
    <x v="1"/>
    <x v="32"/>
    <n v="20"/>
    <n v="10"/>
    <n v="1200"/>
    <n v="1800"/>
    <n v="268"/>
    <n v="53"/>
    <n v="19"/>
    <x v="0"/>
    <n v="18000"/>
    <n v="6000"/>
  </r>
  <r>
    <s v="ORD0035"/>
    <s v="P018"/>
    <x v="4"/>
    <s v="Furniture"/>
    <s v="OfficeStore"/>
    <x v="1"/>
    <x v="1"/>
    <x v="33"/>
    <n v="53"/>
    <n v="17"/>
    <n v="5000"/>
    <n v="7000"/>
    <n v="24"/>
    <n v="69"/>
    <n v="5"/>
    <x v="0"/>
    <n v="119000"/>
    <n v="34000"/>
  </r>
  <r>
    <s v="ORD0036"/>
    <s v="P003"/>
    <x v="8"/>
    <s v="Electronics"/>
    <s v="TechSupply"/>
    <x v="2"/>
    <x v="2"/>
    <x v="34"/>
    <n v="161"/>
    <m/>
    <n v="800"/>
    <n v="1200"/>
    <n v="265"/>
    <n v="32"/>
    <n v="10"/>
    <x v="0"/>
    <n v="0"/>
    <n v="0"/>
  </r>
  <r>
    <s v="ORD0037"/>
    <s v="P017"/>
    <x v="1"/>
    <s v="Accessories"/>
    <s v="PowerTech"/>
    <x v="0"/>
    <x v="0"/>
    <x v="35"/>
    <n v="138"/>
    <n v="66"/>
    <n v="900"/>
    <n v="1400"/>
    <n v="106"/>
    <n v="73"/>
    <n v="16"/>
    <x v="0"/>
    <n v="92400"/>
    <n v="33000"/>
  </r>
  <r>
    <s v="ORD0038"/>
    <s v="P013"/>
    <x v="10"/>
    <s v="Furniture"/>
    <s v="LightHouse"/>
    <x v="2"/>
    <x v="2"/>
    <x v="36"/>
    <n v="23"/>
    <n v="21"/>
    <n v="650"/>
    <n v="1000"/>
    <n v="126"/>
    <n v="47"/>
    <n v="4"/>
    <x v="0"/>
    <n v="21000"/>
    <n v="7350"/>
  </r>
  <r>
    <s v="ORD0039"/>
    <s v="P004"/>
    <x v="3"/>
    <s v="Electronics"/>
    <s v="DisplayPro"/>
    <x v="0"/>
    <x v="0"/>
    <x v="20"/>
    <n v="174"/>
    <n v="93"/>
    <n v="8500"/>
    <n v="11000"/>
    <n v="76"/>
    <n v="36"/>
    <n v="6"/>
    <x v="2"/>
    <n v="1023000"/>
    <n v="232500"/>
  </r>
  <r>
    <s v="ORD0040"/>
    <s v="P004"/>
    <x v="3"/>
    <s v="Electronics"/>
    <s v="DisplayPro"/>
    <x v="2"/>
    <x v="2"/>
    <x v="37"/>
    <n v="46"/>
    <n v="42"/>
    <n v="8500"/>
    <n v="11000"/>
    <n v="117"/>
    <n v="30"/>
    <n v="15"/>
    <x v="2"/>
    <n v="462000"/>
    <n v="105000"/>
  </r>
  <r>
    <s v="ORD0041"/>
    <s v="P011"/>
    <x v="0"/>
    <s v="Stationery"/>
    <s v="PaperPlus"/>
    <x v="2"/>
    <x v="2"/>
    <x v="38"/>
    <n v="96"/>
    <n v="40"/>
    <n v="45"/>
    <n v="80"/>
    <n v="50"/>
    <n v="66"/>
    <n v="13"/>
    <x v="0"/>
    <n v="3200"/>
    <n v="1400"/>
  </r>
  <r>
    <s v="ORD0042"/>
    <s v="P015"/>
    <x v="16"/>
    <s v="Electronics"/>
    <s v="StoragePro"/>
    <x v="1"/>
    <x v="1"/>
    <x v="39"/>
    <n v="89"/>
    <n v="66"/>
    <n v="4500"/>
    <n v="6500"/>
    <n v="154"/>
    <n v="52"/>
    <n v="4"/>
    <x v="0"/>
    <n v="429000"/>
    <n v="132000"/>
  </r>
  <r>
    <s v="ORD0043"/>
    <s v="P004"/>
    <x v="3"/>
    <s v="Electronics"/>
    <s v="DisplayPro"/>
    <x v="1"/>
    <x v="1"/>
    <x v="40"/>
    <n v="74"/>
    <n v="5"/>
    <n v="8500"/>
    <n v="11000"/>
    <n v="95"/>
    <n v="37"/>
    <n v="6"/>
    <x v="1"/>
    <n v="55000"/>
    <n v="12500"/>
  </r>
  <r>
    <s v="ORD0044"/>
    <s v="P013"/>
    <x v="10"/>
    <s v="Furniture"/>
    <s v="LightHouse"/>
    <x v="0"/>
    <x v="0"/>
    <x v="41"/>
    <n v="136"/>
    <n v="126"/>
    <n v="650"/>
    <n v="1000"/>
    <n v="170"/>
    <n v="25"/>
    <n v="10"/>
    <x v="0"/>
    <n v="126000"/>
    <n v="44100"/>
  </r>
  <r>
    <s v="ORD0045"/>
    <s v="P014"/>
    <x v="7"/>
    <s v="Accessories"/>
    <s v="BagZone"/>
    <x v="1"/>
    <x v="1"/>
    <x v="42"/>
    <n v="9"/>
    <n v="1"/>
    <n v="900"/>
    <n v="1400"/>
    <n v="136"/>
    <n v="25"/>
    <s v="NOT AVILABLE"/>
    <x v="0"/>
    <n v="1400"/>
    <n v="500"/>
  </r>
  <r>
    <s v="ORD0046"/>
    <s v="P015"/>
    <x v="16"/>
    <s v="Electronics"/>
    <s v="StoragePro"/>
    <x v="1"/>
    <x v="1"/>
    <x v="43"/>
    <n v="146"/>
    <n v="106"/>
    <n v="4500"/>
    <n v="6500"/>
    <n v="140"/>
    <n v="59"/>
    <n v="6"/>
    <x v="0"/>
    <n v="689000"/>
    <n v="212000"/>
  </r>
  <r>
    <s v="ORD0047"/>
    <s v="P004"/>
    <x v="3"/>
    <s v="Electronics"/>
    <s v="DisplayPro"/>
    <x v="0"/>
    <x v="0"/>
    <x v="44"/>
    <n v="17"/>
    <n v="5"/>
    <n v="8500"/>
    <n v="11000"/>
    <n v="106"/>
    <n v="79"/>
    <n v="11"/>
    <x v="0"/>
    <n v="55000"/>
    <n v="12500"/>
  </r>
  <r>
    <s v="ORD0048"/>
    <s v="P010"/>
    <x v="9"/>
    <s v="Electronics"/>
    <s v=" VisionTech  "/>
    <x v="2"/>
    <x v="2"/>
    <x v="45"/>
    <n v="177"/>
    <n v="45"/>
    <n v="1800"/>
    <n v="2800"/>
    <n v="141"/>
    <n v="42"/>
    <n v="2"/>
    <x v="2"/>
    <n v="126000"/>
    <n v="45000"/>
  </r>
  <r>
    <s v="ORD0049"/>
    <s v="P001"/>
    <x v="14"/>
    <s v="Electronics"/>
    <s v="TechSupply"/>
    <x v="1"/>
    <x v="1"/>
    <x v="46"/>
    <n v="146"/>
    <n v="48"/>
    <n v="42000"/>
    <n v="52000"/>
    <n v="266"/>
    <n v="50"/>
    <n v="9"/>
    <x v="3"/>
    <n v="2496000"/>
    <n v="480000"/>
  </r>
  <r>
    <s v="ORD0050"/>
    <s v="P014"/>
    <x v="7"/>
    <s v="Accessories"/>
    <s v="BagZone"/>
    <x v="2"/>
    <x v="2"/>
    <x v="47"/>
    <n v="218"/>
    <n v="100"/>
    <n v="900"/>
    <n v="1400"/>
    <n v="262"/>
    <n v="39"/>
    <n v="8"/>
    <x v="2"/>
    <n v="140000"/>
    <n v="50000"/>
  </r>
  <r>
    <s v="ORD0051"/>
    <s v="P007"/>
    <x v="12"/>
    <s v="Electronics"/>
    <s v="PrintMax"/>
    <x v="0"/>
    <x v="0"/>
    <x v="48"/>
    <n v="93"/>
    <n v="6"/>
    <n v="9000"/>
    <n v="12500"/>
    <n v="69"/>
    <n v="20"/>
    <n v="4"/>
    <x v="0"/>
    <n v="75000"/>
    <n v="21000"/>
  </r>
  <r>
    <s v="ORD0052"/>
    <s v="P014"/>
    <x v="7"/>
    <s v="Accessories"/>
    <s v="BagZone"/>
    <x v="0"/>
    <x v="0"/>
    <x v="49"/>
    <n v="26"/>
    <n v="21"/>
    <n v="900"/>
    <n v="1400"/>
    <n v="198"/>
    <n v="75"/>
    <n v="18"/>
    <x v="1"/>
    <n v="29400"/>
    <n v="10500"/>
  </r>
  <r>
    <s v="ORD0053"/>
    <s v="P020"/>
    <x v="6"/>
    <s v="Stationery"/>
    <s v="OfficeStore"/>
    <x v="0"/>
    <x v="0"/>
    <x v="50"/>
    <n v="80"/>
    <n v="5"/>
    <n v="1200"/>
    <n v="1800"/>
    <n v="238"/>
    <n v="31"/>
    <n v="7"/>
    <x v="0"/>
    <n v="9000"/>
    <n v="3000"/>
  </r>
  <r>
    <s v="ORD0054"/>
    <s v="P009"/>
    <x v="11"/>
    <s v="Electronics"/>
    <s v="AudioWorld"/>
    <x v="3"/>
    <x v="1"/>
    <x v="51"/>
    <n v="145"/>
    <n v="82"/>
    <n v="900"/>
    <n v="1500"/>
    <n v="128"/>
    <n v="22"/>
    <n v="11"/>
    <x v="0"/>
    <n v="123000"/>
    <n v="49200"/>
  </r>
  <r>
    <s v="ORD0055"/>
    <s v="P001"/>
    <x v="14"/>
    <s v="Electronics"/>
    <s v="TechSupply"/>
    <x v="3"/>
    <x v="1"/>
    <x v="52"/>
    <n v="26"/>
    <n v="15"/>
    <n v="42000"/>
    <n v="52000"/>
    <n v="145"/>
    <n v="52"/>
    <n v="8"/>
    <x v="0"/>
    <n v="780000"/>
    <n v="150000"/>
  </r>
  <r>
    <s v="ORD0056"/>
    <s v="P003"/>
    <x v="8"/>
    <s v="Electronics"/>
    <s v="TechSupply"/>
    <x v="3"/>
    <x v="1"/>
    <x v="53"/>
    <n v="41"/>
    <n v="25"/>
    <n v="800"/>
    <n v="1200"/>
    <n v="24"/>
    <n v="45"/>
    <n v="2"/>
    <x v="1"/>
    <n v="30000"/>
    <n v="10000"/>
  </r>
  <r>
    <s v="ORD0057"/>
    <s v="P003"/>
    <x v="8"/>
    <s v="Electronics"/>
    <s v="TechSupply"/>
    <x v="0"/>
    <x v="0"/>
    <x v="54"/>
    <n v="188"/>
    <n v="152"/>
    <n v="800"/>
    <n v="1200"/>
    <n v="202"/>
    <n v="68"/>
    <n v="12"/>
    <x v="1"/>
    <n v="182400"/>
    <n v="60800"/>
  </r>
  <r>
    <s v="ORD0058"/>
    <s v="P005"/>
    <x v="15"/>
    <s v="Furniture"/>
    <s v="ComfortWorks"/>
    <x v="3"/>
    <x v="1"/>
    <x v="55"/>
    <n v="169"/>
    <n v="37"/>
    <n v="5500"/>
    <n v="7500"/>
    <n v="25"/>
    <n v="72"/>
    <n v="18"/>
    <x v="0"/>
    <n v="277500"/>
    <n v="74000"/>
  </r>
  <r>
    <s v="ORD0059"/>
    <s v="P017"/>
    <x v="1"/>
    <s v="Accessories"/>
    <s v="PowerTech"/>
    <x v="1"/>
    <x v="1"/>
    <x v="56"/>
    <n v="154"/>
    <n v="58"/>
    <n v="900"/>
    <n v="1400"/>
    <n v="46"/>
    <n v="21"/>
    <n v="3"/>
    <x v="0"/>
    <n v="81200"/>
    <n v="29000"/>
  </r>
  <r>
    <s v="ORD0060"/>
    <s v="P004"/>
    <x v="3"/>
    <s v="Electronics"/>
    <s v="DisplayPro"/>
    <x v="2"/>
    <x v="2"/>
    <x v="57"/>
    <n v="147"/>
    <n v="12"/>
    <n v="8500"/>
    <n v="11000"/>
    <n v="12"/>
    <n v="60"/>
    <n v="19"/>
    <x v="1"/>
    <n v="132000"/>
    <n v="30000"/>
  </r>
  <r>
    <s v="ORD0061"/>
    <s v="P009"/>
    <x v="11"/>
    <s v="Electronics"/>
    <s v="AudioWorld"/>
    <x v="1"/>
    <x v="1"/>
    <x v="14"/>
    <n v="209"/>
    <n v="17"/>
    <n v="900"/>
    <n v="1500"/>
    <n v="260"/>
    <n v="77"/>
    <n v="19"/>
    <x v="0"/>
    <n v="25500"/>
    <n v="10200"/>
  </r>
  <r>
    <s v="ORD0062"/>
    <s v="P016"/>
    <x v="13"/>
    <s v="Electronics"/>
    <s v="NetConnect"/>
    <x v="3"/>
    <x v="1"/>
    <x v="58"/>
    <n v="72"/>
    <n v="30"/>
    <n v="1600"/>
    <n v="2500"/>
    <n v="108"/>
    <n v="34"/>
    <n v="16"/>
    <x v="0"/>
    <n v="75000"/>
    <n v="27000"/>
  </r>
  <r>
    <s v="ORD0063"/>
    <s v="P003"/>
    <x v="8"/>
    <s v="Stationary"/>
    <s v="TechSupply"/>
    <x v="2"/>
    <x v="2"/>
    <x v="59"/>
    <n v="78"/>
    <n v="5"/>
    <n v="800"/>
    <n v="1200"/>
    <n v="104"/>
    <n v="24"/>
    <n v="6"/>
    <x v="0"/>
    <n v="6000"/>
    <n v="2000"/>
  </r>
  <r>
    <s v="ORD0064"/>
    <s v="P020"/>
    <x v="6"/>
    <s v="Stationery"/>
    <s v="OfficeStore"/>
    <x v="0"/>
    <x v="0"/>
    <x v="30"/>
    <n v="128"/>
    <n v="15"/>
    <n v="1200"/>
    <n v="1800"/>
    <n v="251"/>
    <n v="37"/>
    <n v="5"/>
    <x v="1"/>
    <n v="27000"/>
    <n v="9000"/>
  </r>
  <r>
    <s v="ORD0065"/>
    <s v="P010"/>
    <x v="9"/>
    <s v="Electronics"/>
    <s v="VisionTech"/>
    <x v="3"/>
    <x v="1"/>
    <x v="26"/>
    <n v="124"/>
    <n v="59"/>
    <n v="1800"/>
    <n v="2800"/>
    <n v="63"/>
    <n v="77"/>
    <n v="19"/>
    <x v="0"/>
    <n v="165200"/>
    <n v="59000"/>
  </r>
  <r>
    <s v="ORD0066"/>
    <s v="P016"/>
    <x v="13"/>
    <s v="Electronics"/>
    <s v="NetConnect"/>
    <x v="1"/>
    <x v="1"/>
    <x v="3"/>
    <n v="122"/>
    <n v="9"/>
    <n v="1600"/>
    <n v="2500"/>
    <n v="262"/>
    <n v="48"/>
    <n v="10"/>
    <x v="0"/>
    <n v="22500"/>
    <n v="8100"/>
  </r>
  <r>
    <s v="ORD0067"/>
    <s v="P003"/>
    <x v="8"/>
    <s v="Electronics"/>
    <s v="TechSupply"/>
    <x v="1"/>
    <x v="1"/>
    <x v="60"/>
    <n v="196"/>
    <n v="134"/>
    <n v="800"/>
    <n v="1200"/>
    <n v="137"/>
    <n v="80"/>
    <n v="13"/>
    <x v="0"/>
    <n v="160800"/>
    <n v="53600"/>
  </r>
  <r>
    <s v="ORD0068"/>
    <s v="P004"/>
    <x v="3"/>
    <s v="Electronics"/>
    <s v="DisplayPro"/>
    <x v="3"/>
    <x v="1"/>
    <x v="61"/>
    <n v="132"/>
    <n v="124"/>
    <n v="8500"/>
    <n v="11000"/>
    <n v="204"/>
    <n v="21"/>
    <n v="7"/>
    <x v="0"/>
    <n v="1364000"/>
    <n v="310000"/>
  </r>
  <r>
    <s v="ORD0069"/>
    <s v="P015"/>
    <x v="16"/>
    <s v="Electronics"/>
    <s v="StoragePro"/>
    <x v="2"/>
    <x v="2"/>
    <x v="62"/>
    <n v="191"/>
    <n v="36"/>
    <n v="4500"/>
    <n v="6500"/>
    <n v="216"/>
    <n v="42"/>
    <n v="14"/>
    <x v="0"/>
    <n v="234000"/>
    <n v="72000"/>
  </r>
  <r>
    <s v="ORD0070"/>
    <s v="P001"/>
    <x v="14"/>
    <s v="Electronics"/>
    <s v="TechSupply"/>
    <x v="3"/>
    <x v="1"/>
    <x v="43"/>
    <n v="219"/>
    <n v="101"/>
    <n v="42000"/>
    <n v="52000"/>
    <n v="64"/>
    <n v="80"/>
    <n v="8"/>
    <x v="1"/>
    <n v="5252000"/>
    <n v="1010000"/>
  </r>
  <r>
    <s v="ORD0071"/>
    <s v="P009"/>
    <x v="11"/>
    <s v="Electronics"/>
    <s v="AudioWorld"/>
    <x v="3"/>
    <x v="1"/>
    <x v="63"/>
    <n v="105"/>
    <n v="49"/>
    <n v="900"/>
    <n v="1500"/>
    <n v="42"/>
    <n v="43"/>
    <n v="15"/>
    <x v="1"/>
    <n v="73500"/>
    <n v="29400"/>
  </r>
  <r>
    <s v="ORD0072"/>
    <s v="P009"/>
    <x v="11"/>
    <s v="Electronics"/>
    <s v="AudioWorld"/>
    <x v="1"/>
    <x v="1"/>
    <x v="64"/>
    <n v="218"/>
    <n v="169"/>
    <n v="900"/>
    <n v="1500"/>
    <n v="149"/>
    <n v="60"/>
    <n v="6"/>
    <x v="0"/>
    <n v="253500"/>
    <n v="101400"/>
  </r>
  <r>
    <s v="ORD0073"/>
    <s v="P014"/>
    <x v="7"/>
    <s v="Accessories"/>
    <s v="BagZone"/>
    <x v="3"/>
    <x v="1"/>
    <x v="15"/>
    <n v="202"/>
    <n v="95"/>
    <n v="900"/>
    <n v="1400"/>
    <n v="222"/>
    <n v="76"/>
    <n v="2"/>
    <x v="1"/>
    <n v="133000"/>
    <n v="47500"/>
  </r>
  <r>
    <s v="ORD0074"/>
    <s v="P018"/>
    <x v="4"/>
    <s v="Furniture"/>
    <s v="OfficeStore"/>
    <x v="0"/>
    <x v="0"/>
    <x v="65"/>
    <n v="17"/>
    <n v="13"/>
    <n v="42000"/>
    <n v="7000"/>
    <n v="233"/>
    <n v="59"/>
    <n v="6"/>
    <x v="0"/>
    <n v="91000"/>
    <n v="-455000"/>
  </r>
  <r>
    <s v="ORD0075"/>
    <s v="P016"/>
    <x v="13"/>
    <s v="Electronics"/>
    <s v="NetConnect"/>
    <x v="1"/>
    <x v="1"/>
    <x v="66"/>
    <n v="37"/>
    <n v="10"/>
    <n v="1600"/>
    <n v="2500"/>
    <n v="244"/>
    <n v="46"/>
    <n v="12"/>
    <x v="0"/>
    <n v="25000"/>
    <n v="9000"/>
  </r>
  <r>
    <s v="ORD0076"/>
    <s v="P009"/>
    <x v="11"/>
    <s v="Electronics"/>
    <s v="AudioWorld"/>
    <x v="2"/>
    <x v="2"/>
    <x v="67"/>
    <n v="66"/>
    <n v="38"/>
    <n v="900"/>
    <n v="1500"/>
    <n v="250"/>
    <n v="55"/>
    <n v="14"/>
    <x v="0"/>
    <n v="57000"/>
    <n v="22800"/>
  </r>
  <r>
    <s v="ORD0077"/>
    <s v="P003"/>
    <x v="8"/>
    <s v="Electronics"/>
    <s v="TechSupply"/>
    <x v="0"/>
    <x v="0"/>
    <x v="45"/>
    <n v="212"/>
    <n v="127"/>
    <n v="800"/>
    <n v="1200"/>
    <n v="115"/>
    <n v="48"/>
    <n v="12"/>
    <x v="2"/>
    <n v="152400"/>
    <n v="50800"/>
  </r>
  <r>
    <s v="ORD0078"/>
    <s v="P014"/>
    <x v="7"/>
    <s v="Accessories"/>
    <s v="BagZone"/>
    <x v="0"/>
    <x v="0"/>
    <x v="68"/>
    <n v="54"/>
    <n v="15"/>
    <n v="900"/>
    <n v="1400"/>
    <n v="49"/>
    <n v="31"/>
    <n v="12"/>
    <x v="0"/>
    <n v="21000"/>
    <n v="7500"/>
  </r>
  <r>
    <s v="ORD0079"/>
    <s v="P008"/>
    <x v="5"/>
    <s v="Accessories"/>
    <s v="CableHub"/>
    <x v="3"/>
    <x v="1"/>
    <x v="69"/>
    <n v="212"/>
    <n v="145"/>
    <n v="120"/>
    <n v="250"/>
    <n v="106"/>
    <n v="76"/>
    <n v="2"/>
    <x v="1"/>
    <n v="36250"/>
    <n v="18850"/>
  </r>
  <r>
    <s v="ORD0080"/>
    <s v="P013"/>
    <x v="10"/>
    <s v="Furniture"/>
    <s v="LightHouse"/>
    <x v="2"/>
    <x v="2"/>
    <x v="70"/>
    <n v="58"/>
    <n v="24"/>
    <n v="650"/>
    <n v="1000"/>
    <n v="141"/>
    <n v="41"/>
    <n v="3"/>
    <x v="0"/>
    <n v="24000"/>
    <n v="8400"/>
  </r>
  <r>
    <s v="ORD0081"/>
    <s v="P005"/>
    <x v="15"/>
    <s v="Furniture"/>
    <s v="ComfortWorks"/>
    <x v="0"/>
    <x v="0"/>
    <x v="71"/>
    <n v="74"/>
    <n v="31"/>
    <n v="5500"/>
    <n v="7500"/>
    <n v="199"/>
    <n v="45"/>
    <n v="16"/>
    <x v="0"/>
    <n v="232500"/>
    <n v="62000"/>
  </r>
  <r>
    <s v="ORD0082"/>
    <s v="P001"/>
    <x v="14"/>
    <s v="Electronics"/>
    <s v="TechSupply"/>
    <x v="0"/>
    <x v="0"/>
    <x v="72"/>
    <n v="113"/>
    <n v="90"/>
    <n v="42000"/>
    <n v="52000"/>
    <n v="245"/>
    <n v="57"/>
    <n v="17"/>
    <x v="0"/>
    <n v="4680000"/>
    <n v="900000"/>
  </r>
  <r>
    <s v="ORD0083"/>
    <s v="P017"/>
    <x v="1"/>
    <s v="Accessories"/>
    <s v="PowerTech"/>
    <x v="2"/>
    <x v="2"/>
    <x v="73"/>
    <n v="68"/>
    <n v="13"/>
    <n v="900"/>
    <n v="1400"/>
    <n v="117"/>
    <n v="29"/>
    <n v="6"/>
    <x v="0"/>
    <n v="18200"/>
    <n v="6500"/>
  </r>
  <r>
    <s v="ORD0084"/>
    <s v="P015"/>
    <x v="16"/>
    <s v="Electronics"/>
    <s v="StoragePro"/>
    <x v="1"/>
    <x v="1"/>
    <x v="74"/>
    <n v="203"/>
    <n v="10"/>
    <n v="4500"/>
    <n v="6500"/>
    <n v="3"/>
    <n v="70"/>
    <n v="6"/>
    <x v="0"/>
    <n v="65000"/>
    <n v="20000"/>
  </r>
  <r>
    <s v="ORD0085"/>
    <s v="P010"/>
    <x v="17"/>
    <s v="Electronics"/>
    <s v="VisionTech"/>
    <x v="0"/>
    <x v="0"/>
    <x v="75"/>
    <n v="69"/>
    <n v="67"/>
    <n v="1800"/>
    <n v="2800"/>
    <n v="226"/>
    <n v="64"/>
    <n v="5"/>
    <x v="0"/>
    <n v="187600"/>
    <n v="67000"/>
  </r>
  <r>
    <s v="ORD0086"/>
    <s v="P017"/>
    <x v="1"/>
    <s v="Accessories"/>
    <s v="PowerTech"/>
    <x v="0"/>
    <x v="0"/>
    <x v="76"/>
    <n v="71"/>
    <n v="28"/>
    <n v="900"/>
    <n v="1400"/>
    <n v="3"/>
    <n v="20"/>
    <n v="19"/>
    <x v="0"/>
    <n v="39200"/>
    <n v="14000"/>
  </r>
  <r>
    <s v="ORD0087"/>
    <s v="P009"/>
    <x v="11"/>
    <s v="Electronics"/>
    <s v="AudioWorld"/>
    <x v="3"/>
    <x v="1"/>
    <x v="77"/>
    <n v="219"/>
    <n v="62"/>
    <n v="900"/>
    <n v="1500"/>
    <n v="246"/>
    <n v="53"/>
    <n v="9"/>
    <x v="0"/>
    <n v="93000"/>
    <n v="37200"/>
  </r>
  <r>
    <s v="ORD0088"/>
    <s v="P014"/>
    <x v="7"/>
    <s v="Accessories"/>
    <s v="BagZone"/>
    <x v="3"/>
    <x v="1"/>
    <x v="49"/>
    <n v="10"/>
    <n v="3"/>
    <n v="900"/>
    <n v="1400"/>
    <n v="258"/>
    <n v="76"/>
    <n v="15"/>
    <x v="0"/>
    <n v="4200"/>
    <n v="1500"/>
  </r>
  <r>
    <s v="ORD0089"/>
    <s v="P014"/>
    <x v="7"/>
    <s v="Accessories"/>
    <s v=" BagZone  "/>
    <x v="3"/>
    <x v="1"/>
    <x v="78"/>
    <n v="131"/>
    <n v="8"/>
    <n v="900"/>
    <n v="1400"/>
    <n v="176"/>
    <n v="65"/>
    <n v="15"/>
    <x v="0"/>
    <n v="11200"/>
    <n v="4000"/>
  </r>
  <r>
    <s v="ORD0090"/>
    <s v="P007"/>
    <x v="12"/>
    <s v="Electronics"/>
    <s v="PrintMax"/>
    <x v="1"/>
    <x v="1"/>
    <x v="79"/>
    <n v="194"/>
    <n v="129"/>
    <n v="9000"/>
    <n v="12500"/>
    <n v="37"/>
    <n v="33"/>
    <n v="17"/>
    <x v="2"/>
    <n v="1612500"/>
    <n v="451500"/>
  </r>
  <r>
    <s v="ORD0091"/>
    <s v="P007"/>
    <x v="12"/>
    <s v="Electronics"/>
    <s v="PrintMax"/>
    <x v="0"/>
    <x v="0"/>
    <x v="80"/>
    <n v="61"/>
    <n v="16"/>
    <n v="9000"/>
    <n v="12500"/>
    <n v="154"/>
    <n v="26"/>
    <n v="17"/>
    <x v="0"/>
    <n v="200000"/>
    <n v="56000"/>
  </r>
  <r>
    <s v="ORD0092"/>
    <s v="P016"/>
    <x v="13"/>
    <s v="Electonic"/>
    <s v="NetConnect"/>
    <x v="2"/>
    <x v="2"/>
    <x v="81"/>
    <n v="19"/>
    <n v="19"/>
    <n v="1600"/>
    <n v="2500"/>
    <n v="77"/>
    <n v="79"/>
    <n v="14"/>
    <x v="0"/>
    <n v="47500"/>
    <n v="17100"/>
  </r>
  <r>
    <s v="ORD0093"/>
    <s v="P020"/>
    <x v="6"/>
    <s v="Stationery"/>
    <s v="OfficeStore"/>
    <x v="0"/>
    <x v="0"/>
    <x v="82"/>
    <n v="18"/>
    <n v="1"/>
    <n v="1200"/>
    <n v="1800"/>
    <n v="97"/>
    <n v="45"/>
    <n v="16"/>
    <x v="3"/>
    <n v="1800"/>
    <n v="600"/>
  </r>
  <r>
    <s v="ORD0094"/>
    <s v="P004"/>
    <x v="3"/>
    <s v="Electronics"/>
    <s v="DisplayPro"/>
    <x v="1"/>
    <x v="1"/>
    <x v="83"/>
    <n v="89"/>
    <n v="24"/>
    <n v="8500"/>
    <n v="11000"/>
    <n v="97"/>
    <n v="61"/>
    <n v="18"/>
    <x v="1"/>
    <n v="264000"/>
    <n v="60000"/>
  </r>
  <r>
    <s v="ORD0095"/>
    <s v="P010"/>
    <x v="9"/>
    <s v="Electronics"/>
    <s v="VisionTech"/>
    <x v="2"/>
    <x v="2"/>
    <x v="84"/>
    <n v="89"/>
    <n v="56"/>
    <n v="1800"/>
    <n v="2800"/>
    <n v="89"/>
    <n v="26"/>
    <n v="2"/>
    <x v="0"/>
    <n v="156800"/>
    <n v="56000"/>
  </r>
  <r>
    <s v="ORD0096"/>
    <s v="P012"/>
    <x v="18"/>
    <s v="Stationery"/>
    <s v="PaperPlus"/>
    <x v="2"/>
    <x v="2"/>
    <x v="85"/>
    <n v="148"/>
    <n v="53"/>
    <n v="70"/>
    <n v="120"/>
    <n v="197"/>
    <n v="42"/>
    <n v="11"/>
    <x v="1"/>
    <n v="6360"/>
    <n v="2650"/>
  </r>
  <r>
    <s v="ORD0097"/>
    <s v="P003"/>
    <x v="8"/>
    <s v="Electronics"/>
    <s v="TechSupply"/>
    <x v="1"/>
    <x v="1"/>
    <x v="86"/>
    <n v="126"/>
    <n v="25"/>
    <n v="800"/>
    <n v="1200"/>
    <n v="193"/>
    <n v="54"/>
    <n v="16"/>
    <x v="0"/>
    <n v="30000"/>
    <n v="10000"/>
  </r>
  <r>
    <s v="ORD0098"/>
    <s v="P016"/>
    <x v="13"/>
    <s v="Electronics"/>
    <s v="NetConnect"/>
    <x v="1"/>
    <x v="1"/>
    <x v="87"/>
    <n v="110"/>
    <n v="31"/>
    <n v="1600"/>
    <n v="2500"/>
    <n v="210"/>
    <n v="22"/>
    <n v="14"/>
    <x v="0"/>
    <n v="77500"/>
    <n v="27900"/>
  </r>
  <r>
    <s v="ORD0099"/>
    <s v="P002"/>
    <x v="2"/>
    <s v="Electronics"/>
    <s v="TechSupply"/>
    <x v="3"/>
    <x v="1"/>
    <x v="88"/>
    <n v="196"/>
    <n v="16"/>
    <n v="450"/>
    <n v="700"/>
    <n v="176"/>
    <n v="43"/>
    <n v="10"/>
    <x v="0"/>
    <n v="11200"/>
    <n v="4000"/>
  </r>
  <r>
    <s v="ORD0100"/>
    <s v="P009"/>
    <x v="11"/>
    <s v="Electronics"/>
    <s v="AudioWorld"/>
    <x v="3"/>
    <x v="1"/>
    <x v="89"/>
    <n v="81"/>
    <n v="0"/>
    <n v="900"/>
    <n v="1500"/>
    <m/>
    <n v="21"/>
    <n v="9"/>
    <x v="0"/>
    <n v="0"/>
    <n v="0"/>
  </r>
  <r>
    <s v="ORD0101"/>
    <s v="P013"/>
    <x v="10"/>
    <s v="Furniture"/>
    <s v="LightHouse"/>
    <x v="3"/>
    <x v="1"/>
    <x v="90"/>
    <n v="213"/>
    <n v="126"/>
    <n v="650"/>
    <n v="1000"/>
    <n v="70"/>
    <n v="79"/>
    <n v="17"/>
    <x v="0"/>
    <n v="126000"/>
    <n v="44100"/>
  </r>
  <r>
    <s v="ORD0102"/>
    <s v="P005"/>
    <x v="15"/>
    <s v="Furniture"/>
    <s v="ComfortWorks"/>
    <x v="0"/>
    <x v="0"/>
    <x v="91"/>
    <n v="86"/>
    <n v="58"/>
    <n v="5500"/>
    <n v="7500"/>
    <n v="188"/>
    <n v="70"/>
    <n v="4"/>
    <x v="0"/>
    <n v="435000"/>
    <n v="116000"/>
  </r>
  <r>
    <s v="ORD0103"/>
    <s v="P006"/>
    <x v="19"/>
    <s v="Furniture"/>
    <s v="ComfortWorks"/>
    <x v="0"/>
    <x v="0"/>
    <x v="92"/>
    <n v="21"/>
    <n v="20"/>
    <n v="7000"/>
    <n v="9500"/>
    <n v="20"/>
    <n v="50"/>
    <n v="19"/>
    <x v="0"/>
    <n v="190000"/>
    <n v="50000"/>
  </r>
  <r>
    <s v="ORD0104"/>
    <s v="P014"/>
    <x v="7"/>
    <s v="Accessories"/>
    <s v="BagZone"/>
    <x v="1"/>
    <x v="1"/>
    <x v="93"/>
    <n v="72"/>
    <n v="10"/>
    <n v="900"/>
    <n v="1400"/>
    <n v="109"/>
    <n v="26"/>
    <n v="15"/>
    <x v="0"/>
    <n v="14000"/>
    <n v="5000"/>
  </r>
  <r>
    <s v="ORD0105"/>
    <s v="P006"/>
    <x v="19"/>
    <s v="Furniture"/>
    <s v="ComfortWorks"/>
    <x v="0"/>
    <x v="0"/>
    <x v="94"/>
    <n v="111"/>
    <n v="58"/>
    <n v="7000"/>
    <n v="9500"/>
    <n v="123"/>
    <n v="67"/>
    <n v="19"/>
    <x v="3"/>
    <n v="551000"/>
    <n v="145000"/>
  </r>
  <r>
    <s v="ORD0106"/>
    <s v="P010"/>
    <x v="9"/>
    <s v="Electronics"/>
    <s v="VisionTech"/>
    <x v="3"/>
    <x v="1"/>
    <x v="95"/>
    <n v="150"/>
    <n v="68"/>
    <n v="1800"/>
    <n v="2800"/>
    <n v="193"/>
    <n v="36"/>
    <n v="10"/>
    <x v="0"/>
    <n v="190400"/>
    <n v="68000"/>
  </r>
  <r>
    <s v="ORD0107"/>
    <s v="P006"/>
    <x v="19"/>
    <s v="Furniture"/>
    <s v="ComfortWorks"/>
    <x v="0"/>
    <x v="0"/>
    <x v="96"/>
    <n v="44"/>
    <n v="18"/>
    <n v="7000"/>
    <n v="9500"/>
    <n v="99"/>
    <n v="40"/>
    <n v="4"/>
    <x v="0"/>
    <n v="171000"/>
    <n v="45000"/>
  </r>
  <r>
    <s v="ORD0108"/>
    <s v="P017"/>
    <x v="1"/>
    <s v="Accessories"/>
    <s v="PowerTech"/>
    <x v="0"/>
    <x v="0"/>
    <x v="97"/>
    <n v="211"/>
    <n v="25"/>
    <n v="900"/>
    <n v="1400"/>
    <n v="240"/>
    <n v="22"/>
    <n v="5"/>
    <x v="0"/>
    <n v="35000"/>
    <n v="12500"/>
  </r>
  <r>
    <s v="ORD0109"/>
    <s v="P015"/>
    <x v="16"/>
    <s v="Electronics"/>
    <s v="StoragePro"/>
    <x v="3"/>
    <x v="1"/>
    <x v="98"/>
    <n v="80"/>
    <n v="29"/>
    <n v="4500"/>
    <n v="6500"/>
    <n v="64"/>
    <n v="23"/>
    <n v="8"/>
    <x v="0"/>
    <n v="188500"/>
    <n v="58000"/>
  </r>
  <r>
    <s v="ORD0110"/>
    <s v="P003"/>
    <x v="8"/>
    <s v="Electronics"/>
    <s v="TechSupply"/>
    <x v="3"/>
    <x v="1"/>
    <x v="99"/>
    <n v="50"/>
    <n v="28"/>
    <n v="800"/>
    <n v="1200"/>
    <n v="136"/>
    <n v="69"/>
    <n v="2"/>
    <x v="0"/>
    <n v="33600"/>
    <n v="11200"/>
  </r>
  <r>
    <s v="ORD0111"/>
    <s v="P007"/>
    <x v="12"/>
    <s v="Electronics"/>
    <s v="PrintMax"/>
    <x v="1"/>
    <x v="1"/>
    <x v="100"/>
    <n v="92"/>
    <n v="18"/>
    <n v="9000"/>
    <n v="12500"/>
    <n v="25"/>
    <n v="33"/>
    <n v="10"/>
    <x v="0"/>
    <n v="225000"/>
    <n v="63000"/>
  </r>
  <r>
    <s v="ORD0112"/>
    <s v="P001"/>
    <x v="14"/>
    <s v="Electronics"/>
    <s v="TechSupply"/>
    <x v="3"/>
    <x v="1"/>
    <x v="101"/>
    <n v="178"/>
    <n v="95"/>
    <n v="42000"/>
    <n v="52000"/>
    <n v="97"/>
    <n v="59"/>
    <n v="11"/>
    <x v="0"/>
    <n v="4940000"/>
    <n v="950000"/>
  </r>
  <r>
    <s v="ORD0113"/>
    <s v="P016"/>
    <x v="13"/>
    <s v="Electronics"/>
    <s v="NetConnect"/>
    <x v="2"/>
    <x v="2"/>
    <x v="102"/>
    <n v="109"/>
    <n v="12"/>
    <n v="1600"/>
    <n v="2500"/>
    <n v="205"/>
    <n v="62"/>
    <n v="19"/>
    <x v="0"/>
    <n v="30000"/>
    <n v="10800"/>
  </r>
  <r>
    <s v="ORD0114"/>
    <s v="P006"/>
    <x v="19"/>
    <s v="Furniture"/>
    <s v="ComfortWorks"/>
    <x v="2"/>
    <x v="2"/>
    <x v="103"/>
    <n v="74"/>
    <n v="52"/>
    <n v="7000"/>
    <n v="9500"/>
    <n v="148"/>
    <n v="62"/>
    <n v="11"/>
    <x v="0"/>
    <n v="494000"/>
    <n v="130000"/>
  </r>
  <r>
    <s v="ORD0115"/>
    <s v="P010"/>
    <x v="9"/>
    <s v="Electronics"/>
    <s v="VisionTech"/>
    <x v="3"/>
    <x v="1"/>
    <x v="82"/>
    <n v="111"/>
    <n v="2"/>
    <n v="1800"/>
    <n v="2800"/>
    <n v="189"/>
    <n v="61"/>
    <n v="8"/>
    <x v="0"/>
    <n v="5600"/>
    <n v="2000"/>
  </r>
  <r>
    <s v="ORD0116"/>
    <s v="P007"/>
    <x v="12"/>
    <s v="Electronics"/>
    <s v="PrintMax"/>
    <x v="1"/>
    <x v="1"/>
    <x v="104"/>
    <n v="45"/>
    <n v="27"/>
    <n v="9000"/>
    <n v="12500"/>
    <n v="61"/>
    <n v="72"/>
    <n v="4"/>
    <x v="0"/>
    <n v="337500"/>
    <n v="94500"/>
  </r>
  <r>
    <s v="ORD0117"/>
    <s v="P015"/>
    <x v="16"/>
    <s v="Electronics"/>
    <s v="StoragePro"/>
    <x v="0"/>
    <x v="0"/>
    <x v="105"/>
    <n v="8"/>
    <n v="0"/>
    <n v="4500"/>
    <n v="6500"/>
    <n v="75"/>
    <n v="61"/>
    <n v="14"/>
    <x v="0"/>
    <n v="0"/>
    <n v="0"/>
  </r>
  <r>
    <s v="ORD0118"/>
    <s v="P017"/>
    <x v="1"/>
    <s v="Accessories"/>
    <s v="PowerTech"/>
    <x v="0"/>
    <x v="0"/>
    <x v="106"/>
    <n v="94"/>
    <n v="36"/>
    <n v="900"/>
    <n v="1400"/>
    <n v="85"/>
    <n v="53"/>
    <n v="7"/>
    <x v="3"/>
    <n v="50400"/>
    <n v="18000"/>
  </r>
  <r>
    <s v="ORD0119"/>
    <s v="P013"/>
    <x v="10"/>
    <s v="Furniture"/>
    <s v="LightHouse"/>
    <x v="2"/>
    <x v="2"/>
    <x v="107"/>
    <n v="82"/>
    <n v="16"/>
    <n v="650"/>
    <n v="1000"/>
    <n v="25"/>
    <n v="78"/>
    <n v="17"/>
    <x v="4"/>
    <n v="16000"/>
    <n v="5600"/>
  </r>
  <r>
    <s v="ORD0120"/>
    <s v="P003"/>
    <x v="8"/>
    <s v="Electronics"/>
    <s v="TechSupply"/>
    <x v="0"/>
    <x v="0"/>
    <x v="108"/>
    <n v="206"/>
    <n v="56"/>
    <n v="800"/>
    <n v="1200"/>
    <n v="210"/>
    <n v="59"/>
    <n v="8"/>
    <x v="1"/>
    <n v="67200"/>
    <n v="22400"/>
  </r>
  <r>
    <s v="ORD0121"/>
    <s v="P019"/>
    <x v="20"/>
    <s v="Stationery"/>
    <s v="PaperPlus"/>
    <x v="0"/>
    <x v="0"/>
    <x v="109"/>
    <n v="107"/>
    <n v="66"/>
    <n v="120"/>
    <n v="200"/>
    <n v="83"/>
    <n v="44"/>
    <n v="13"/>
    <x v="0"/>
    <n v="13200"/>
    <n v="5280"/>
  </r>
  <r>
    <s v="ORD0122"/>
    <s v="P007"/>
    <x v="12"/>
    <s v="Electronics"/>
    <s v="PrintMax"/>
    <x v="1"/>
    <x v="1"/>
    <x v="110"/>
    <n v="220"/>
    <m/>
    <n v="9000"/>
    <n v="12500"/>
    <n v="22"/>
    <n v="62"/>
    <n v="12"/>
    <x v="0"/>
    <n v="0"/>
    <n v="0"/>
  </r>
  <r>
    <s v="ORD0123"/>
    <s v="P018"/>
    <x v="4"/>
    <s v="Furniture"/>
    <s v="OfficeStore"/>
    <x v="3"/>
    <x v="1"/>
    <x v="97"/>
    <n v="112"/>
    <n v="39"/>
    <n v="5000"/>
    <n v="7000"/>
    <n v="130"/>
    <n v="47"/>
    <n v="14"/>
    <x v="1"/>
    <n v="273000"/>
    <n v="78000"/>
  </r>
  <r>
    <s v="ORD0124"/>
    <s v="P017"/>
    <x v="1"/>
    <s v="Accessories"/>
    <s v="PowerTech"/>
    <x v="2"/>
    <x v="2"/>
    <x v="111"/>
    <n v="10"/>
    <n v="0"/>
    <n v="900"/>
    <n v="1400"/>
    <n v="253"/>
    <n v="49"/>
    <n v="9"/>
    <x v="0"/>
    <n v="0"/>
    <n v="0"/>
  </r>
  <r>
    <s v="ORD0125"/>
    <s v="P006"/>
    <x v="19"/>
    <s v="Furniture"/>
    <s v="ComfortWorks"/>
    <x v="2"/>
    <x v="2"/>
    <x v="112"/>
    <n v="32"/>
    <n v="4"/>
    <n v="7000"/>
    <n v="9500"/>
    <n v="68"/>
    <n v="42"/>
    <n v="15"/>
    <x v="0"/>
    <n v="38000"/>
    <n v="10000"/>
  </r>
  <r>
    <s v="ORD0126"/>
    <s v="P017"/>
    <x v="1"/>
    <s v="Accessories"/>
    <s v="PowerTech"/>
    <x v="1"/>
    <x v="1"/>
    <x v="98"/>
    <n v="167"/>
    <n v="33"/>
    <n v="900"/>
    <n v="1400"/>
    <n v="45"/>
    <n v="79"/>
    <n v="12"/>
    <x v="1"/>
    <n v="46200"/>
    <n v="16500"/>
  </r>
  <r>
    <s v="ORD0127"/>
    <s v="P002"/>
    <x v="2"/>
    <s v="Electronics"/>
    <s v="TechSupply"/>
    <x v="2"/>
    <x v="2"/>
    <x v="113"/>
    <n v="205"/>
    <n v="34"/>
    <n v="450"/>
    <n v="700"/>
    <n v="16"/>
    <n v="74"/>
    <n v="4"/>
    <x v="2"/>
    <n v="23800"/>
    <n v="8500"/>
  </r>
  <r>
    <s v="ORD0128"/>
    <s v="P007"/>
    <x v="12"/>
    <s v="Electronics"/>
    <s v="PrintMax"/>
    <x v="0"/>
    <x v="0"/>
    <x v="114"/>
    <n v="78"/>
    <n v="21"/>
    <n v="9000"/>
    <n v="12500"/>
    <n v="116"/>
    <n v="24"/>
    <n v="13"/>
    <x v="0"/>
    <n v="262500"/>
    <n v="73500"/>
  </r>
  <r>
    <s v="ORD0129"/>
    <s v="P006"/>
    <x v="19"/>
    <s v="Furniture"/>
    <s v="ComfortWorks"/>
    <x v="3"/>
    <x v="1"/>
    <x v="115"/>
    <n v="75"/>
    <n v="58"/>
    <n v="7000"/>
    <n v="9500"/>
    <n v="76"/>
    <n v="36"/>
    <n v="18"/>
    <x v="2"/>
    <n v="551000"/>
    <n v="145000"/>
  </r>
  <r>
    <s v="ORD0130"/>
    <s v="P007"/>
    <x v="12"/>
    <s v="Electronics"/>
    <s v="PrintMax"/>
    <x v="3"/>
    <x v="1"/>
    <x v="116"/>
    <n v="134"/>
    <n v="60"/>
    <n v="9000"/>
    <n v="12500"/>
    <n v="166"/>
    <n v="43"/>
    <n v="3"/>
    <x v="0"/>
    <n v="750000"/>
    <n v="210000"/>
  </r>
  <r>
    <s v="ORD0131"/>
    <s v="P006"/>
    <x v="19"/>
    <s v="Furniture"/>
    <s v="ComfortWorks"/>
    <x v="3"/>
    <x v="1"/>
    <x v="117"/>
    <n v="88"/>
    <n v="48"/>
    <n v="7000"/>
    <n v="9500"/>
    <n v="89"/>
    <n v="70"/>
    <n v="10"/>
    <x v="0"/>
    <n v="456000"/>
    <n v="120000"/>
  </r>
  <r>
    <s v="ORD0132"/>
    <s v="P012"/>
    <x v="18"/>
    <s v="Stationery"/>
    <s v="PaperPlus"/>
    <x v="2"/>
    <x v="2"/>
    <x v="32"/>
    <n v="138"/>
    <n v="26"/>
    <n v="70"/>
    <n v="120"/>
    <n v="132"/>
    <n v="54"/>
    <n v="14"/>
    <x v="1"/>
    <n v="3120"/>
    <n v="1300"/>
  </r>
  <r>
    <s v="ORD0133"/>
    <s v="P009"/>
    <x v="11"/>
    <s v="Electronics"/>
    <s v="AudioWorld"/>
    <x v="2"/>
    <x v="2"/>
    <x v="100"/>
    <n v="152"/>
    <n v="37"/>
    <n v="900"/>
    <n v="1500"/>
    <n v="187"/>
    <n v="41"/>
    <n v="4"/>
    <x v="0"/>
    <n v="55500"/>
    <n v="22200"/>
  </r>
  <r>
    <s v="ORD0134"/>
    <s v="P020"/>
    <x v="6"/>
    <s v="Stationery"/>
    <s v="OfficeStore"/>
    <x v="1"/>
    <x v="1"/>
    <x v="118"/>
    <n v="214"/>
    <n v="132"/>
    <n v="1200"/>
    <n v="1800"/>
    <n v="132"/>
    <n v="39"/>
    <n v="20"/>
    <x v="3"/>
    <n v="237600"/>
    <n v="79200"/>
  </r>
  <r>
    <s v="ORD0135"/>
    <s v="P001"/>
    <x v="14"/>
    <s v="Electronics"/>
    <s v="TechSupply"/>
    <x v="1"/>
    <x v="1"/>
    <x v="119"/>
    <n v="43"/>
    <n v="18"/>
    <n v="42000"/>
    <n v="52000"/>
    <n v="224"/>
    <n v="46"/>
    <n v="18"/>
    <x v="0"/>
    <n v="936000"/>
    <n v="180000"/>
  </r>
  <r>
    <s v="ORD0136"/>
    <s v="P005"/>
    <x v="15"/>
    <s v="Furniture"/>
    <s v="ComfortWorks"/>
    <x v="2"/>
    <x v="2"/>
    <x v="78"/>
    <n v="161"/>
    <n v="11"/>
    <n v="5500"/>
    <n v="7500"/>
    <n v="14"/>
    <n v="23"/>
    <n v="2"/>
    <x v="0"/>
    <n v="82500"/>
    <n v="22000"/>
  </r>
  <r>
    <s v="ORD0137"/>
    <s v="P004"/>
    <x v="3"/>
    <s v="Electronics"/>
    <s v="DisplayPro"/>
    <x v="3"/>
    <x v="1"/>
    <x v="120"/>
    <n v="62"/>
    <n v="26"/>
    <n v="8500"/>
    <n v="11000"/>
    <n v="157"/>
    <n v="57"/>
    <n v="6"/>
    <x v="0"/>
    <n v="286000"/>
    <n v="65000"/>
  </r>
  <r>
    <s v="ORD0138"/>
    <s v="P006"/>
    <x v="19"/>
    <s v="Furniture"/>
    <s v="ComfortWorks"/>
    <x v="0"/>
    <x v="0"/>
    <x v="82"/>
    <n v="210"/>
    <n v="62"/>
    <n v="7000"/>
    <n v="9500"/>
    <n v="79"/>
    <n v="48"/>
    <n v="5"/>
    <x v="0"/>
    <n v="589000"/>
    <n v="155000"/>
  </r>
  <r>
    <s v="ORD0139"/>
    <s v="P009"/>
    <x v="11"/>
    <s v="Electronics"/>
    <s v="AudioWorld"/>
    <x v="2"/>
    <x v="2"/>
    <x v="40"/>
    <n v="7"/>
    <n v="0"/>
    <n v="900"/>
    <n v="1500"/>
    <n v="182"/>
    <n v="58"/>
    <n v="20"/>
    <x v="0"/>
    <n v="0"/>
    <n v="0"/>
  </r>
  <r>
    <s v="ORD0140"/>
    <s v="P008"/>
    <x v="5"/>
    <s v="Accessories"/>
    <s v="CableHub"/>
    <x v="0"/>
    <x v="0"/>
    <x v="121"/>
    <n v="16"/>
    <n v="1"/>
    <n v="120"/>
    <n v="250"/>
    <n v="275"/>
    <n v="21"/>
    <n v="14"/>
    <x v="0"/>
    <n v="250"/>
    <n v="130"/>
  </r>
  <r>
    <s v="ORD0141"/>
    <s v="P002"/>
    <x v="2"/>
    <s v="Electronics"/>
    <s v="TechSupply"/>
    <x v="1"/>
    <x v="1"/>
    <x v="30"/>
    <n v="161"/>
    <n v="141"/>
    <n v="450"/>
    <n v="700"/>
    <n v="103"/>
    <n v="29"/>
    <n v="15"/>
    <x v="0"/>
    <n v="98700"/>
    <n v="35250"/>
  </r>
  <r>
    <s v="ORD0142"/>
    <s v="P020"/>
    <x v="6"/>
    <s v="Stationery"/>
    <s v="OfficeStore"/>
    <x v="0"/>
    <x v="0"/>
    <x v="122"/>
    <n v="84"/>
    <n v="8"/>
    <n v="1200"/>
    <n v="1800"/>
    <n v="156"/>
    <n v="60"/>
    <n v="3"/>
    <x v="2"/>
    <n v="14400"/>
    <n v="4800"/>
  </r>
  <r>
    <s v="ORD0143"/>
    <s v="P018"/>
    <x v="4"/>
    <s v="Furniture"/>
    <s v="OfficeStore"/>
    <x v="1"/>
    <x v="1"/>
    <x v="123"/>
    <n v="116"/>
    <n v="95"/>
    <n v="5000"/>
    <n v="7000"/>
    <n v="241"/>
    <n v="25"/>
    <n v="16"/>
    <x v="0"/>
    <n v="665000"/>
    <n v="190000"/>
  </r>
  <r>
    <s v="ORD0144"/>
    <s v="P009"/>
    <x v="11"/>
    <s v="Electronics"/>
    <s v="AudioWorld"/>
    <x v="0"/>
    <x v="0"/>
    <x v="20"/>
    <n v="14"/>
    <n v="1"/>
    <n v="900"/>
    <n v="1500"/>
    <n v="174"/>
    <n v="77"/>
    <n v="10"/>
    <x v="1"/>
    <n v="1500"/>
    <n v="600"/>
  </r>
  <r>
    <s v="ORD0145"/>
    <s v="P018"/>
    <x v="4"/>
    <s v="Furniture"/>
    <s v="OfficeStore"/>
    <x v="2"/>
    <x v="2"/>
    <x v="56"/>
    <n v="206"/>
    <n v="133"/>
    <n v="5000"/>
    <n v="7000"/>
    <n v="138"/>
    <n v="38"/>
    <n v="8"/>
    <x v="0"/>
    <n v="931000"/>
    <n v="266000"/>
  </r>
  <r>
    <s v="ORD0146"/>
    <s v="P006"/>
    <x v="19"/>
    <s v="Furniture"/>
    <s v=" ComfortWorks  "/>
    <x v="3"/>
    <x v="1"/>
    <x v="124"/>
    <n v="220"/>
    <n v="190"/>
    <n v="7000"/>
    <n v="9500"/>
    <n v="106"/>
    <n v="80"/>
    <n v="7"/>
    <x v="1"/>
    <n v="1805000"/>
    <n v="475000"/>
  </r>
  <r>
    <s v="ORD0147"/>
    <s v="P007"/>
    <x v="12"/>
    <s v="Electronics"/>
    <s v="PrintMax"/>
    <x v="2"/>
    <x v="2"/>
    <x v="51"/>
    <n v="158"/>
    <n v="61"/>
    <n v="9000"/>
    <n v="12500"/>
    <n v="197"/>
    <n v="78"/>
    <n v="19"/>
    <x v="0"/>
    <n v="762500"/>
    <n v="213500"/>
  </r>
  <r>
    <s v="ORD0148"/>
    <s v="P001"/>
    <x v="14"/>
    <s v="Electronics"/>
    <s v="TechSupply"/>
    <x v="2"/>
    <x v="2"/>
    <x v="125"/>
    <n v="151"/>
    <n v="78"/>
    <n v="42000"/>
    <n v="52000"/>
    <n v="111"/>
    <n v="45"/>
    <n v="20"/>
    <x v="0"/>
    <n v="4056000"/>
    <n v="780000"/>
  </r>
  <r>
    <s v="ORD0149"/>
    <s v="P005"/>
    <x v="15"/>
    <s v="Furniture"/>
    <s v="ComfortWorks"/>
    <x v="1"/>
    <x v="1"/>
    <x v="126"/>
    <n v="33"/>
    <n v="6"/>
    <n v="5500"/>
    <n v="7500"/>
    <n v="85"/>
    <n v="42"/>
    <n v="6"/>
    <x v="1"/>
    <n v="45000"/>
    <n v="12000"/>
  </r>
  <r>
    <s v="ORD0150"/>
    <s v="P002"/>
    <x v="2"/>
    <s v="Electronics"/>
    <s v="TechSupply"/>
    <x v="0"/>
    <x v="0"/>
    <x v="50"/>
    <n v="169"/>
    <n v="162"/>
    <n v="450"/>
    <n v="700"/>
    <n v="24"/>
    <n v="64"/>
    <n v="4"/>
    <x v="1"/>
    <n v="113400"/>
    <n v="40500"/>
  </r>
  <r>
    <s v="ORD0151"/>
    <s v="P019"/>
    <x v="20"/>
    <s v="Stationery"/>
    <s v="PaperPlus"/>
    <x v="3"/>
    <x v="1"/>
    <x v="127"/>
    <n v="214"/>
    <n v="209"/>
    <n v="120"/>
    <n v="200"/>
    <n v="276"/>
    <n v="77"/>
    <n v="4"/>
    <x v="3"/>
    <n v="41800"/>
    <n v="16720"/>
  </r>
  <r>
    <s v="ORD0152"/>
    <s v="P004"/>
    <x v="3"/>
    <s v="Electronics"/>
    <s v="DisplayPro"/>
    <x v="0"/>
    <x v="0"/>
    <x v="128"/>
    <n v="57"/>
    <n v="7"/>
    <n v="8500"/>
    <n v="11000"/>
    <n v="20"/>
    <n v="22"/>
    <n v="4"/>
    <x v="1"/>
    <n v="77000"/>
    <n v="17500"/>
  </r>
  <r>
    <s v="ORD0153"/>
    <s v="P016"/>
    <x v="13"/>
    <s v="Electronics"/>
    <s v="NetConnect"/>
    <x v="1"/>
    <x v="1"/>
    <x v="129"/>
    <n v="30"/>
    <n v="25"/>
    <n v="1600"/>
    <n v="2500"/>
    <n v="107"/>
    <n v="38"/>
    <n v="12"/>
    <x v="0"/>
    <n v="62500"/>
    <n v="22500"/>
  </r>
  <r>
    <s v="ORD0154"/>
    <s v="P001"/>
    <x v="14"/>
    <s v="Electronics"/>
    <s v="TechSupply"/>
    <x v="3"/>
    <x v="1"/>
    <x v="130"/>
    <n v="77"/>
    <n v="6"/>
    <n v="42000"/>
    <n v="52000"/>
    <n v="191"/>
    <n v="78"/>
    <n v="12"/>
    <x v="1"/>
    <n v="312000"/>
    <n v="60000"/>
  </r>
  <r>
    <s v="ORD0155"/>
    <s v="P010"/>
    <x v="9"/>
    <s v="Electronics"/>
    <s v="VisionTech"/>
    <x v="1"/>
    <x v="1"/>
    <x v="131"/>
    <n v="12"/>
    <n v="6"/>
    <n v="1800"/>
    <n v="2800"/>
    <n v="268"/>
    <n v="69"/>
    <n v="5"/>
    <x v="0"/>
    <n v="16800"/>
    <n v="6000"/>
  </r>
  <r>
    <s v="ORD0156"/>
    <s v="P018"/>
    <x v="4"/>
    <s v="Furniture"/>
    <s v="OfficeStore"/>
    <x v="0"/>
    <x v="0"/>
    <x v="132"/>
    <n v="152"/>
    <n v="73"/>
    <n v="5000"/>
    <n v="7000"/>
    <n v="90"/>
    <n v="47"/>
    <n v="2"/>
    <x v="0"/>
    <n v="511000"/>
    <n v="146000"/>
  </r>
  <r>
    <s v="ORD0157"/>
    <s v="P002"/>
    <x v="2"/>
    <s v="Electonic"/>
    <s v="TechSupply"/>
    <x v="1"/>
    <x v="1"/>
    <x v="133"/>
    <n v="130"/>
    <n v="24"/>
    <n v="450"/>
    <n v="700"/>
    <n v="254"/>
    <n v="64"/>
    <n v="7"/>
    <x v="2"/>
    <n v="16800"/>
    <n v="6000"/>
  </r>
  <r>
    <s v="ORD0158"/>
    <s v="P017"/>
    <x v="1"/>
    <s v="Accessories"/>
    <s v="PowerTech"/>
    <x v="3"/>
    <x v="1"/>
    <x v="134"/>
    <n v="45"/>
    <n v="18"/>
    <n v="900"/>
    <n v="1400"/>
    <n v="112"/>
    <n v="80"/>
    <n v="9"/>
    <x v="0"/>
    <n v="25200"/>
    <n v="9000"/>
  </r>
  <r>
    <s v="ORD0159"/>
    <s v="P003"/>
    <x v="8"/>
    <s v="Electronics"/>
    <s v="TechSupply"/>
    <x v="2"/>
    <x v="2"/>
    <x v="103"/>
    <n v="148"/>
    <n v="26"/>
    <n v="800"/>
    <n v="1200"/>
    <n v="170"/>
    <n v="42"/>
    <n v="5"/>
    <x v="0"/>
    <n v="31200"/>
    <n v="10400"/>
  </r>
  <r>
    <s v="ORD0160"/>
    <s v="P003"/>
    <x v="8"/>
    <s v="Electronics"/>
    <s v="TechSupply"/>
    <x v="2"/>
    <x v="2"/>
    <x v="77"/>
    <n v="11"/>
    <n v="5"/>
    <n v="800"/>
    <n v="1200"/>
    <n v="108"/>
    <n v="39"/>
    <n v="10"/>
    <x v="0"/>
    <n v="6000"/>
    <n v="2000"/>
  </r>
  <r>
    <s v="ORD0161"/>
    <s v="P013"/>
    <x v="10"/>
    <s v="Furniture"/>
    <s v="LightHouse"/>
    <x v="0"/>
    <x v="0"/>
    <x v="135"/>
    <n v="37"/>
    <n v="34"/>
    <n v="650"/>
    <n v="1000"/>
    <n v="20"/>
    <n v="42"/>
    <n v="20"/>
    <x v="0"/>
    <n v="34000"/>
    <n v="11900"/>
  </r>
  <r>
    <s v="ORD0162"/>
    <s v="P015"/>
    <x v="16"/>
    <s v="Electronics"/>
    <s v="StoragePro"/>
    <x v="3"/>
    <x v="1"/>
    <x v="136"/>
    <n v="123"/>
    <n v="56"/>
    <n v="4500"/>
    <n v="6500"/>
    <n v="134"/>
    <n v="57"/>
    <n v="9"/>
    <x v="0"/>
    <n v="364000"/>
    <n v="112000"/>
  </r>
  <r>
    <s v="ORD0163"/>
    <s v="P008"/>
    <x v="5"/>
    <s v="Accessories"/>
    <s v="CableHub"/>
    <x v="0"/>
    <x v="0"/>
    <x v="137"/>
    <n v="82"/>
    <n v="79"/>
    <n v="120"/>
    <n v="250"/>
    <n v="82"/>
    <n v="66"/>
    <n v="6"/>
    <x v="1"/>
    <n v="19750"/>
    <n v="10270"/>
  </r>
  <r>
    <s v="ORD0164"/>
    <s v="P020"/>
    <x v="6"/>
    <s v="Stationery"/>
    <s v="OfficeStore"/>
    <x v="3"/>
    <x v="1"/>
    <x v="138"/>
    <n v="65"/>
    <n v="41"/>
    <n v="1200"/>
    <n v="1800"/>
    <n v="99"/>
    <n v="36"/>
    <n v="5"/>
    <x v="0"/>
    <n v="73800"/>
    <n v="24600"/>
  </r>
  <r>
    <s v="ORD0165"/>
    <s v="P007"/>
    <x v="12"/>
    <s v="Electronics"/>
    <s v="PrintMax"/>
    <x v="2"/>
    <x v="2"/>
    <x v="139"/>
    <n v="42"/>
    <n v="19"/>
    <n v="9000"/>
    <n v="12500"/>
    <n v="155"/>
    <n v="47"/>
    <n v="10"/>
    <x v="0"/>
    <n v="237500"/>
    <n v="66500"/>
  </r>
  <r>
    <s v="ORD0166"/>
    <s v="P009"/>
    <x v="11"/>
    <s v="Electronics"/>
    <s v="AudioWorld"/>
    <x v="0"/>
    <x v="0"/>
    <x v="76"/>
    <n v="123"/>
    <n v="4"/>
    <n v="900"/>
    <n v="1500"/>
    <n v="9"/>
    <n v="45"/>
    <n v="15"/>
    <x v="1"/>
    <n v="6000"/>
    <n v="2400"/>
  </r>
  <r>
    <s v="ORD0167"/>
    <s v="P015"/>
    <x v="16"/>
    <s v="Electronics"/>
    <s v="StoragePro"/>
    <x v="1"/>
    <x v="1"/>
    <x v="60"/>
    <n v="70"/>
    <n v="51"/>
    <n v="4500"/>
    <n v="6500"/>
    <n v="5"/>
    <n v="67"/>
    <n v="9"/>
    <x v="3"/>
    <n v="331500"/>
    <n v="102000"/>
  </r>
  <r>
    <s v="ORD0168"/>
    <s v="P019"/>
    <x v="20"/>
    <s v="Stationery"/>
    <s v="PaperPlus"/>
    <x v="2"/>
    <x v="2"/>
    <x v="140"/>
    <n v="175"/>
    <n v="167"/>
    <n v="120"/>
    <n v="200"/>
    <n v="120"/>
    <n v="63"/>
    <n v="7"/>
    <x v="0"/>
    <n v="33400"/>
    <n v="13360"/>
  </r>
  <r>
    <s v="ORD0169"/>
    <s v="P014"/>
    <x v="7"/>
    <s v="Accessories"/>
    <s v="BagZone"/>
    <x v="3"/>
    <x v="1"/>
    <x v="141"/>
    <n v="165"/>
    <n v="25"/>
    <n v="900"/>
    <n v="1400"/>
    <n v="217"/>
    <n v="35"/>
    <n v="14"/>
    <x v="1"/>
    <n v="35000"/>
    <n v="12500"/>
  </r>
  <r>
    <s v="ORD0170"/>
    <s v="P009"/>
    <x v="11"/>
    <s v="Electronics"/>
    <s v="AudioWorld"/>
    <x v="2"/>
    <x v="2"/>
    <x v="142"/>
    <n v="121"/>
    <n v="2"/>
    <n v="900"/>
    <n v="1500"/>
    <n v="212"/>
    <n v="53"/>
    <n v="7"/>
    <x v="3"/>
    <n v="3000"/>
    <n v="1200"/>
  </r>
  <r>
    <s v="ORD0171"/>
    <s v="P001"/>
    <x v="14"/>
    <s v="Electronics"/>
    <s v="TechSupply"/>
    <x v="2"/>
    <x v="2"/>
    <x v="90"/>
    <n v="32"/>
    <n v="2"/>
    <n v="42000"/>
    <n v="52000"/>
    <n v="131"/>
    <n v="54"/>
    <n v="8"/>
    <x v="0"/>
    <n v="104000"/>
    <n v="20000"/>
  </r>
  <r>
    <s v="ORD0172"/>
    <s v="P017"/>
    <x v="1"/>
    <s v="Accessories"/>
    <s v="PowerTech"/>
    <x v="3"/>
    <x v="1"/>
    <x v="143"/>
    <n v="152"/>
    <n v="116"/>
    <n v="900"/>
    <n v="1400"/>
    <n v="280"/>
    <n v="33"/>
    <n v="17"/>
    <x v="0"/>
    <n v="162400"/>
    <n v="58000"/>
  </r>
  <r>
    <s v="ORD0173"/>
    <s v="P017"/>
    <x v="1"/>
    <s v="Accessories"/>
    <s v="PowerTech"/>
    <x v="3"/>
    <x v="1"/>
    <x v="144"/>
    <n v="194"/>
    <n v="116"/>
    <n v="900"/>
    <n v="1400"/>
    <n v="110"/>
    <n v="63"/>
    <n v="7"/>
    <x v="0"/>
    <n v="162400"/>
    <n v="58000"/>
  </r>
  <r>
    <s v="ORD0174"/>
    <s v="P020"/>
    <x v="21"/>
    <s v="Stationery"/>
    <s v="OfficeStore"/>
    <x v="3"/>
    <x v="1"/>
    <x v="145"/>
    <n v="19"/>
    <n v="8"/>
    <n v="1200"/>
    <n v="1800"/>
    <n v="143"/>
    <n v="44"/>
    <n v="14"/>
    <x v="0"/>
    <n v="14400"/>
    <n v="4800"/>
  </r>
  <r>
    <s v="ORD0175"/>
    <s v="P014"/>
    <x v="7"/>
    <s v="Accessories"/>
    <s v="BagZone"/>
    <x v="2"/>
    <x v="2"/>
    <x v="146"/>
    <n v="183"/>
    <n v="172"/>
    <n v="900"/>
    <n v="1400"/>
    <n v="183"/>
    <n v="57"/>
    <n v="10"/>
    <x v="0"/>
    <n v="240800"/>
    <n v="86000"/>
  </r>
  <r>
    <s v="ORD0176"/>
    <s v="P013"/>
    <x v="10"/>
    <s v="Furniture"/>
    <s v="LightHouse"/>
    <x v="0"/>
    <x v="0"/>
    <x v="147"/>
    <n v="123"/>
    <n v="27"/>
    <n v="650"/>
    <n v="1000"/>
    <n v="87"/>
    <n v="28"/>
    <n v="4"/>
    <x v="1"/>
    <n v="27000"/>
    <n v="9450"/>
  </r>
  <r>
    <s v="ORD0177"/>
    <s v="P016"/>
    <x v="13"/>
    <s v="Electronics"/>
    <s v="NetConnect"/>
    <x v="0"/>
    <x v="0"/>
    <x v="106"/>
    <n v="95"/>
    <n v="85"/>
    <n v="1600"/>
    <n v="2500"/>
    <n v="214"/>
    <n v="49"/>
    <n v="11"/>
    <x v="1"/>
    <n v="212500"/>
    <n v="76500"/>
  </r>
  <r>
    <s v="ORD0178"/>
    <s v="P016"/>
    <x v="13"/>
    <s v="Electronics"/>
    <s v="NetConnect"/>
    <x v="3"/>
    <x v="1"/>
    <x v="140"/>
    <n v="73"/>
    <n v="48"/>
    <n v="1600"/>
    <n v="2500"/>
    <n v="132"/>
    <n v="47"/>
    <n v="7"/>
    <x v="0"/>
    <n v="120000"/>
    <n v="43200"/>
  </r>
  <r>
    <s v="ORD0179"/>
    <s v="P012"/>
    <x v="18"/>
    <s v="Stationery"/>
    <s v="PaperPlus"/>
    <x v="0"/>
    <x v="0"/>
    <x v="12"/>
    <n v="82"/>
    <n v="41"/>
    <n v="70"/>
    <n v="120"/>
    <n v="248"/>
    <n v="51"/>
    <n v="15"/>
    <x v="0"/>
    <n v="4920"/>
    <n v="2050"/>
  </r>
  <r>
    <s v="ORD0180"/>
    <s v="P012"/>
    <x v="18"/>
    <s v="Stationery"/>
    <s v="PaperPlus"/>
    <x v="0"/>
    <x v="0"/>
    <x v="148"/>
    <n v="103"/>
    <n v="7"/>
    <n v="70"/>
    <n v="120"/>
    <n v="46"/>
    <n v="72"/>
    <n v="20"/>
    <x v="3"/>
    <n v="840"/>
    <n v="350"/>
  </r>
  <r>
    <s v="ORD0181"/>
    <s v="P017"/>
    <x v="1"/>
    <s v="Accessories"/>
    <s v="PowerTech"/>
    <x v="3"/>
    <x v="1"/>
    <x v="149"/>
    <n v="154"/>
    <n v="3"/>
    <n v="900"/>
    <n v="1400"/>
    <n v="8"/>
    <n v="33"/>
    <n v="4"/>
    <x v="1"/>
    <n v="4200"/>
    <n v="1500"/>
  </r>
  <r>
    <s v="ORD0182"/>
    <s v="P020"/>
    <x v="6"/>
    <s v="Stationery"/>
    <s v="OfficeStore"/>
    <x v="1"/>
    <x v="1"/>
    <x v="150"/>
    <n v="41"/>
    <n v="14"/>
    <n v="1200"/>
    <n v="1800"/>
    <n v="98"/>
    <n v="69"/>
    <n v="16"/>
    <x v="0"/>
    <n v="25200"/>
    <n v="8400"/>
  </r>
  <r>
    <s v="ORD0183"/>
    <s v="P007"/>
    <x v="12"/>
    <s v="Electronics"/>
    <s v="PrintMax"/>
    <x v="2"/>
    <x v="2"/>
    <x v="120"/>
    <n v="47"/>
    <n v="39"/>
    <n v="9000"/>
    <n v="12500"/>
    <n v="49"/>
    <n v="62"/>
    <n v="19"/>
    <x v="1"/>
    <n v="487500"/>
    <n v="136500"/>
  </r>
  <r>
    <s v="ORD0184"/>
    <s v="P007"/>
    <x v="12"/>
    <s v="Electronics"/>
    <s v="PrintMax"/>
    <x v="2"/>
    <x v="2"/>
    <x v="50"/>
    <n v="59"/>
    <n v="33"/>
    <n v="9000"/>
    <n v="12500"/>
    <n v="43"/>
    <n v="67"/>
    <n v="16"/>
    <x v="1"/>
    <n v="412500"/>
    <n v="115500"/>
  </r>
  <r>
    <s v="ORD0185"/>
    <s v="P018"/>
    <x v="4"/>
    <s v="Furniture"/>
    <s v="OfficeStore"/>
    <x v="1"/>
    <x v="1"/>
    <x v="40"/>
    <n v="112"/>
    <n v="29"/>
    <n v="5000"/>
    <n v="7000"/>
    <n v="74"/>
    <n v="50"/>
    <n v="17"/>
    <x v="0"/>
    <n v="203000"/>
    <n v="58000"/>
  </r>
  <r>
    <s v="ORD0186"/>
    <s v="P015"/>
    <x v="16"/>
    <s v="Electronics"/>
    <s v="StoragePro"/>
    <x v="0"/>
    <x v="0"/>
    <x v="151"/>
    <n v="130"/>
    <n v="63"/>
    <n v="4500"/>
    <n v="6500"/>
    <n v="258"/>
    <n v="30"/>
    <n v="19"/>
    <x v="0"/>
    <n v="409500"/>
    <n v="126000"/>
  </r>
  <r>
    <s v="ORD0187"/>
    <s v="P006"/>
    <x v="19"/>
    <s v="Furniture"/>
    <s v="ComfortWorks"/>
    <x v="3"/>
    <x v="1"/>
    <x v="152"/>
    <n v="183"/>
    <n v="144"/>
    <n v="7000"/>
    <n v="9500"/>
    <n v="257"/>
    <n v="62"/>
    <n v="11"/>
    <x v="3"/>
    <n v="1368000"/>
    <n v="360000"/>
  </r>
  <r>
    <s v="ORD0188"/>
    <s v="P014"/>
    <x v="7"/>
    <s v="Accessories"/>
    <s v="BagZone"/>
    <x v="2"/>
    <x v="2"/>
    <x v="153"/>
    <n v="24"/>
    <n v="5"/>
    <n v="900"/>
    <n v="1400"/>
    <n v="187"/>
    <n v="60"/>
    <n v="2"/>
    <x v="0"/>
    <n v="7000"/>
    <n v="2500"/>
  </r>
  <r>
    <s v="ORD0189"/>
    <s v="P011"/>
    <x v="0"/>
    <s v="Stationery"/>
    <s v="PaperPlus"/>
    <x v="1"/>
    <x v="1"/>
    <x v="154"/>
    <n v="128"/>
    <n v="124"/>
    <n v="45"/>
    <n v="80"/>
    <n v="76"/>
    <n v="22"/>
    <n v="8"/>
    <x v="1"/>
    <n v="9920"/>
    <n v="4340"/>
  </r>
  <r>
    <s v="ORD0190"/>
    <s v="P011"/>
    <x v="0"/>
    <s v="Stationery"/>
    <s v="PaperPlus"/>
    <x v="1"/>
    <x v="1"/>
    <x v="107"/>
    <n v="98"/>
    <n v="43"/>
    <n v="45"/>
    <n v="80"/>
    <n v="245"/>
    <n v="69"/>
    <n v="18"/>
    <x v="0"/>
    <n v="3440"/>
    <n v="1505"/>
  </r>
  <r>
    <s v="ORD0191"/>
    <s v="P010"/>
    <x v="9"/>
    <s v="Stationary"/>
    <s v="VisionTech"/>
    <x v="2"/>
    <x v="2"/>
    <x v="155"/>
    <n v="113"/>
    <n v="32"/>
    <n v="1800"/>
    <n v="2800"/>
    <n v="29"/>
    <n v="72"/>
    <n v="11"/>
    <x v="0"/>
    <n v="89600"/>
    <n v="32000"/>
  </r>
  <r>
    <s v="ORD0192"/>
    <s v="P013"/>
    <x v="10"/>
    <s v="Furniture"/>
    <s v="LightHouse"/>
    <x v="3"/>
    <x v="1"/>
    <x v="156"/>
    <n v="74"/>
    <n v="64"/>
    <n v="650"/>
    <n v="1000"/>
    <n v="179"/>
    <n v="33"/>
    <n v="17"/>
    <x v="1"/>
    <n v="64000"/>
    <n v="22400"/>
  </r>
  <r>
    <s v="ORD0193"/>
    <s v="P007"/>
    <x v="12"/>
    <s v="Electronics"/>
    <s v="PrintMax"/>
    <x v="3"/>
    <x v="1"/>
    <x v="157"/>
    <n v="37"/>
    <n v="37"/>
    <n v="9000"/>
    <n v="12500"/>
    <n v="47"/>
    <n v="70"/>
    <n v="3"/>
    <x v="0"/>
    <n v="462500"/>
    <n v="129500"/>
  </r>
  <r>
    <s v="ORD0194"/>
    <s v="P018"/>
    <x v="4"/>
    <s v="Furniture"/>
    <s v="OfficeStore"/>
    <x v="1"/>
    <x v="1"/>
    <x v="112"/>
    <n v="81"/>
    <n v="13"/>
    <n v="5000"/>
    <n v="7000"/>
    <n v="6"/>
    <n v="22"/>
    <n v="8"/>
    <x v="1"/>
    <n v="91000"/>
    <n v="26000"/>
  </r>
  <r>
    <s v="ORD0195"/>
    <s v="P020"/>
    <x v="6"/>
    <s v="Stationery"/>
    <s v="OfficeStore"/>
    <x v="1"/>
    <x v="1"/>
    <x v="45"/>
    <n v="144"/>
    <n v="96"/>
    <n v="1200"/>
    <n v="1800"/>
    <n v="78"/>
    <n v="60"/>
    <n v="4"/>
    <x v="0"/>
    <n v="172800"/>
    <n v="57600"/>
  </r>
  <r>
    <s v="ORD0196"/>
    <s v="P006"/>
    <x v="19"/>
    <s v="Furniture"/>
    <s v="ComfortWorks"/>
    <x v="1"/>
    <x v="1"/>
    <x v="158"/>
    <n v="51"/>
    <n v="2"/>
    <n v="7000"/>
    <n v="9500"/>
    <n v="218"/>
    <n v="69"/>
    <n v="5"/>
    <x v="3"/>
    <n v="19000"/>
    <n v="5000"/>
  </r>
  <r>
    <s v="ORD0197"/>
    <s v="P012"/>
    <x v="18"/>
    <s v="Stationery"/>
    <s v="PaperPlus"/>
    <x v="0"/>
    <x v="0"/>
    <x v="159"/>
    <n v="148"/>
    <n v="66"/>
    <n v="70"/>
    <n v="120"/>
    <n v="157"/>
    <n v="31"/>
    <n v="15"/>
    <x v="0"/>
    <n v="7920"/>
    <n v="3300"/>
  </r>
  <r>
    <s v="ORD0198"/>
    <s v="P014"/>
    <x v="7"/>
    <s v="Accessories"/>
    <s v="BagZone"/>
    <x v="1"/>
    <x v="1"/>
    <x v="160"/>
    <n v="150"/>
    <n v="133"/>
    <n v="900"/>
    <n v="1400"/>
    <n v="23"/>
    <n v="72"/>
    <s v="NOT AVILABLE"/>
    <x v="1"/>
    <n v="186200"/>
    <n v="66500"/>
  </r>
  <r>
    <s v="ORD0199"/>
    <s v="P019"/>
    <x v="20"/>
    <s v="Stationery"/>
    <s v="PaperPlus"/>
    <x v="2"/>
    <x v="2"/>
    <x v="23"/>
    <n v="22"/>
    <n v="0"/>
    <n v="120"/>
    <n v="200"/>
    <n v="201"/>
    <n v="58"/>
    <n v="20"/>
    <x v="2"/>
    <n v="0"/>
    <n v="0"/>
  </r>
  <r>
    <s v="ORD0200"/>
    <s v="P016"/>
    <x v="13"/>
    <s v="Electronics"/>
    <s v="NetConnect"/>
    <x v="2"/>
    <x v="2"/>
    <x v="68"/>
    <n v="31"/>
    <n v="5"/>
    <n v="1600"/>
    <n v="2500"/>
    <n v="244"/>
    <n v="33"/>
    <n v="6"/>
    <x v="0"/>
    <n v="12500"/>
    <n v="4500"/>
  </r>
  <r>
    <s v="ORD0201"/>
    <s v="P001"/>
    <x v="14"/>
    <s v="Electronics"/>
    <s v="TechSupply"/>
    <x v="1"/>
    <x v="1"/>
    <x v="59"/>
    <n v="176"/>
    <n v="31"/>
    <n v="42000"/>
    <n v="52000"/>
    <n v="48"/>
    <n v="33"/>
    <n v="5"/>
    <x v="0"/>
    <n v="1612000"/>
    <n v="310000"/>
  </r>
  <r>
    <s v="ORD0202"/>
    <s v="P009"/>
    <x v="11"/>
    <s v="Electronics"/>
    <s v="AudioWorld"/>
    <x v="0"/>
    <x v="0"/>
    <x v="161"/>
    <n v="192"/>
    <n v="190"/>
    <n v="900"/>
    <n v="1500"/>
    <n v="98"/>
    <n v="79"/>
    <n v="3"/>
    <x v="0"/>
    <n v="285000"/>
    <n v="114000"/>
  </r>
  <r>
    <s v="ORD0203"/>
    <s v="P003"/>
    <x v="8"/>
    <s v="Electronics"/>
    <s v="TechSupply"/>
    <x v="3"/>
    <x v="1"/>
    <x v="146"/>
    <n v="147"/>
    <n v="127"/>
    <n v="800"/>
    <n v="1200"/>
    <n v="238"/>
    <n v="62"/>
    <n v="10"/>
    <x v="3"/>
    <n v="152400"/>
    <n v="50800"/>
  </r>
  <r>
    <s v="ORD0204"/>
    <s v="P002"/>
    <x v="2"/>
    <s v="Electronics"/>
    <s v="TechSupply"/>
    <x v="1"/>
    <x v="1"/>
    <x v="162"/>
    <n v="8"/>
    <n v="1"/>
    <n v="450"/>
    <n v="700"/>
    <n v="202"/>
    <n v="39"/>
    <n v="11"/>
    <x v="1"/>
    <n v="700"/>
    <n v="250"/>
  </r>
  <r>
    <s v="ORD0205"/>
    <s v="P016"/>
    <x v="13"/>
    <s v="Electronics"/>
    <s v="NetConnect"/>
    <x v="1"/>
    <x v="1"/>
    <x v="36"/>
    <n v="99"/>
    <n v="73"/>
    <n v="1600"/>
    <n v="2500"/>
    <n v="227"/>
    <n v="50"/>
    <n v="7"/>
    <x v="0"/>
    <n v="182500"/>
    <n v="65700"/>
  </r>
  <r>
    <s v="ORD0206"/>
    <s v="P012"/>
    <x v="18"/>
    <s v="Stationery"/>
    <s v="PaperPlus"/>
    <x v="0"/>
    <x v="0"/>
    <x v="163"/>
    <n v="210"/>
    <n v="106"/>
    <n v="70"/>
    <n v="120"/>
    <n v="247"/>
    <n v="44"/>
    <n v="16"/>
    <x v="3"/>
    <n v="12720"/>
    <n v="5300"/>
  </r>
  <r>
    <s v="ORD0207"/>
    <s v="P010"/>
    <x v="9"/>
    <s v="Electronics"/>
    <s v="VisionTech"/>
    <x v="3"/>
    <x v="1"/>
    <x v="164"/>
    <n v="164"/>
    <n v="153"/>
    <n v="1800"/>
    <n v="2800"/>
    <n v="173"/>
    <n v="75"/>
    <n v="2"/>
    <x v="3"/>
    <n v="428400"/>
    <n v="153000"/>
  </r>
  <r>
    <s v="ORD0208"/>
    <s v="P019"/>
    <x v="20"/>
    <s v="Stationery"/>
    <s v="PaperPlus"/>
    <x v="2"/>
    <x v="2"/>
    <x v="165"/>
    <n v="101"/>
    <n v="49"/>
    <n v="120"/>
    <n v="200"/>
    <n v="195"/>
    <n v="58"/>
    <n v="9"/>
    <x v="1"/>
    <n v="9800"/>
    <n v="3920"/>
  </r>
  <r>
    <s v="ORD0209"/>
    <s v="P001"/>
    <x v="14"/>
    <s v="Electronics"/>
    <s v="TechSupply"/>
    <x v="3"/>
    <x v="1"/>
    <x v="44"/>
    <n v="73"/>
    <n v="54"/>
    <n v="42000"/>
    <n v="52000"/>
    <n v="83"/>
    <n v="57"/>
    <n v="3"/>
    <x v="0"/>
    <n v="2808000"/>
    <n v="540000"/>
  </r>
  <r>
    <s v="ORD0210"/>
    <s v="P019"/>
    <x v="20"/>
    <s v="Stationery"/>
    <s v="PaperPlus"/>
    <x v="0"/>
    <x v="0"/>
    <x v="166"/>
    <n v="209"/>
    <n v="206"/>
    <n v="120"/>
    <n v="200"/>
    <n v="258"/>
    <n v="42"/>
    <n v="19"/>
    <x v="0"/>
    <n v="41200"/>
    <n v="16480"/>
  </r>
  <r>
    <s v="ORD0211"/>
    <s v="P013"/>
    <x v="10"/>
    <s v="Furniture"/>
    <s v="LightHouse"/>
    <x v="0"/>
    <x v="0"/>
    <x v="125"/>
    <n v="84"/>
    <n v="77"/>
    <n v="650"/>
    <n v="1000"/>
    <m/>
    <n v="63"/>
    <n v="14"/>
    <x v="0"/>
    <n v="77000"/>
    <n v="26950"/>
  </r>
  <r>
    <s v="ORD0212"/>
    <s v="P009"/>
    <x v="11"/>
    <s v="Electronics"/>
    <s v="AudioWorld"/>
    <x v="1"/>
    <x v="1"/>
    <x v="167"/>
    <n v="122"/>
    <n v="69"/>
    <n v="900"/>
    <n v="1500"/>
    <n v="47"/>
    <n v="54"/>
    <n v="13"/>
    <x v="1"/>
    <n v="103500"/>
    <n v="41400"/>
  </r>
  <r>
    <s v="ORD0213"/>
    <s v="P013"/>
    <x v="10"/>
    <s v="Furniture"/>
    <s v="LightHouse"/>
    <x v="3"/>
    <x v="1"/>
    <x v="168"/>
    <n v="87"/>
    <n v="61"/>
    <n v="650"/>
    <n v="1000"/>
    <n v="262"/>
    <n v="57"/>
    <n v="8"/>
    <x v="0"/>
    <n v="61000"/>
    <n v="21350"/>
  </r>
  <r>
    <s v="ORD0214"/>
    <s v="P003"/>
    <x v="8"/>
    <s v="Electronics"/>
    <s v="TechSupply"/>
    <x v="0"/>
    <x v="0"/>
    <x v="151"/>
    <n v="79"/>
    <n v="46"/>
    <n v="800"/>
    <n v="1200"/>
    <n v="186"/>
    <n v="45"/>
    <n v="18"/>
    <x v="3"/>
    <n v="55200"/>
    <n v="18400"/>
  </r>
  <r>
    <s v="ORD0215"/>
    <s v="P002"/>
    <x v="2"/>
    <s v="Electronics"/>
    <s v="TechSupply"/>
    <x v="2"/>
    <x v="2"/>
    <x v="84"/>
    <n v="32"/>
    <n v="23"/>
    <n v="450"/>
    <n v="700"/>
    <n v="240"/>
    <n v="70"/>
    <n v="4"/>
    <x v="0"/>
    <n v="16100"/>
    <n v="5750"/>
  </r>
  <r>
    <s v="ORD0216"/>
    <s v="P012"/>
    <x v="18"/>
    <s v="Stationery"/>
    <s v="PaperPlus"/>
    <x v="3"/>
    <x v="1"/>
    <x v="169"/>
    <n v="160"/>
    <n v="5"/>
    <n v="70"/>
    <n v="120"/>
    <n v="51"/>
    <n v="22"/>
    <n v="8"/>
    <x v="2"/>
    <n v="600"/>
    <n v="250"/>
  </r>
  <r>
    <s v="ORD0217"/>
    <s v="P019"/>
    <x v="20"/>
    <s v="Stationery"/>
    <s v="PaperPlus"/>
    <x v="0"/>
    <x v="0"/>
    <x v="141"/>
    <n v="204"/>
    <n v="71"/>
    <n v="120"/>
    <n v="200"/>
    <n v="221"/>
    <n v="26"/>
    <n v="16"/>
    <x v="1"/>
    <n v="14200"/>
    <n v="5680"/>
  </r>
  <r>
    <s v="ORD0218"/>
    <s v="P009"/>
    <x v="11"/>
    <s v="Electronics"/>
    <s v="AudioWorld"/>
    <x v="1"/>
    <x v="1"/>
    <x v="43"/>
    <n v="56"/>
    <n v="11"/>
    <n v="900"/>
    <n v="1500"/>
    <n v="196"/>
    <n v="25"/>
    <n v="2"/>
    <x v="0"/>
    <n v="16500"/>
    <n v="6600"/>
  </r>
  <r>
    <s v="ORD0219"/>
    <s v="P015"/>
    <x v="16"/>
    <s v="Electronics"/>
    <s v="StoragePro"/>
    <x v="2"/>
    <x v="2"/>
    <x v="102"/>
    <n v="158"/>
    <n v="101"/>
    <n v="4500"/>
    <n v="6500"/>
    <n v="64"/>
    <n v="65"/>
    <n v="4"/>
    <x v="0"/>
    <n v="656500"/>
    <n v="202000"/>
  </r>
  <r>
    <s v="ORD0220"/>
    <s v="P003"/>
    <x v="8"/>
    <s v="Electronics"/>
    <s v=" TechSupply  "/>
    <x v="2"/>
    <x v="2"/>
    <x v="170"/>
    <n v="119"/>
    <n v="108"/>
    <n v="800"/>
    <n v="1200"/>
    <n v="84"/>
    <n v="43"/>
    <n v="9"/>
    <x v="2"/>
    <n v="129600"/>
    <n v="43200"/>
  </r>
  <r>
    <s v="ORD0221"/>
    <s v="P006"/>
    <x v="19"/>
    <s v="Furniture"/>
    <s v="ComfortWorks"/>
    <x v="1"/>
    <x v="1"/>
    <x v="130"/>
    <n v="95"/>
    <n v="7"/>
    <n v="7000"/>
    <n v="9500"/>
    <n v="17"/>
    <n v="73"/>
    <n v="3"/>
    <x v="0"/>
    <n v="66500"/>
    <n v="17500"/>
  </r>
  <r>
    <s v="ORD0222"/>
    <s v="P002"/>
    <x v="2"/>
    <s v="Electronics"/>
    <s v="TechSupply"/>
    <x v="1"/>
    <x v="1"/>
    <x v="106"/>
    <n v="86"/>
    <n v="0"/>
    <n v="450"/>
    <n v="700"/>
    <n v="104"/>
    <n v="63"/>
    <n v="11"/>
    <x v="0"/>
    <n v="0"/>
    <n v="0"/>
  </r>
  <r>
    <s v="ORD0223"/>
    <s v="P004"/>
    <x v="3"/>
    <s v="Electronics"/>
    <s v="DisplayPro"/>
    <x v="2"/>
    <x v="2"/>
    <x v="171"/>
    <n v="100"/>
    <n v="32"/>
    <n v="8500"/>
    <n v="11000"/>
    <n v="202"/>
    <n v="27"/>
    <n v="13"/>
    <x v="0"/>
    <n v="352000"/>
    <n v="80000"/>
  </r>
  <r>
    <s v="ORD0224"/>
    <s v="P015"/>
    <x v="16"/>
    <s v="Electronics"/>
    <s v="StoragePro"/>
    <x v="0"/>
    <x v="0"/>
    <x v="172"/>
    <n v="178"/>
    <n v="3"/>
    <n v="4500"/>
    <n v="6500"/>
    <n v="242"/>
    <n v="65"/>
    <n v="8"/>
    <x v="1"/>
    <n v="19500"/>
    <n v="6000"/>
  </r>
  <r>
    <s v="ORD0225"/>
    <s v="P008"/>
    <x v="5"/>
    <s v="Accessories"/>
    <s v="CableHub"/>
    <x v="1"/>
    <x v="1"/>
    <x v="55"/>
    <n v="100"/>
    <n v="95"/>
    <n v="120"/>
    <n v="250"/>
    <n v="74"/>
    <n v="69"/>
    <n v="16"/>
    <x v="2"/>
    <n v="23750"/>
    <n v="12350"/>
  </r>
  <r>
    <s v="ORD0226"/>
    <s v="P001"/>
    <x v="14"/>
    <s v="Electronics"/>
    <s v="TechSupply"/>
    <x v="1"/>
    <x v="1"/>
    <x v="57"/>
    <n v="91"/>
    <n v="41"/>
    <n v="42000"/>
    <n v="52000"/>
    <n v="122"/>
    <n v="50"/>
    <n v="5"/>
    <x v="0"/>
    <n v="2132000"/>
    <n v="410000"/>
  </r>
  <r>
    <s v="ORD0227"/>
    <s v="P011"/>
    <x v="0"/>
    <s v="Stationery"/>
    <s v="PaperPlus"/>
    <x v="0"/>
    <x v="0"/>
    <x v="173"/>
    <n v="51"/>
    <n v="45"/>
    <n v="45"/>
    <n v="80"/>
    <n v="234"/>
    <n v="55"/>
    <n v="6"/>
    <x v="0"/>
    <n v="3600"/>
    <n v="1575"/>
  </r>
  <r>
    <s v="ORD0228"/>
    <s v="P009"/>
    <x v="11"/>
    <s v="Electronics"/>
    <s v="AudioWorld"/>
    <x v="2"/>
    <x v="2"/>
    <x v="144"/>
    <n v="68"/>
    <n v="19"/>
    <n v="900"/>
    <n v="1500"/>
    <n v="16"/>
    <n v="37"/>
    <n v="20"/>
    <x v="3"/>
    <n v="28500"/>
    <n v="11400"/>
  </r>
  <r>
    <s v="ORD0229"/>
    <s v="P006"/>
    <x v="19"/>
    <s v="Furniture"/>
    <s v="ComfortWorks"/>
    <x v="3"/>
    <x v="1"/>
    <x v="114"/>
    <n v="32"/>
    <n v="20"/>
    <n v="7000"/>
    <n v="9500"/>
    <n v="236"/>
    <n v="77"/>
    <n v="17"/>
    <x v="0"/>
    <n v="190000"/>
    <n v="50000"/>
  </r>
  <r>
    <s v="ORD0230"/>
    <s v="P007"/>
    <x v="12"/>
    <s v="Electronics"/>
    <s v="PrintMax"/>
    <x v="2"/>
    <x v="2"/>
    <x v="174"/>
    <n v="35"/>
    <n v="16"/>
    <n v="9000"/>
    <n v="12500"/>
    <n v="106"/>
    <n v="43"/>
    <n v="15"/>
    <x v="2"/>
    <n v="200000"/>
    <n v="56000"/>
  </r>
  <r>
    <s v="ORD0231"/>
    <s v="P008"/>
    <x v="5"/>
    <s v="Accessories"/>
    <s v="CableHub"/>
    <x v="1"/>
    <x v="1"/>
    <x v="175"/>
    <n v="79"/>
    <n v="53"/>
    <n v="120"/>
    <n v="250"/>
    <n v="86"/>
    <n v="23"/>
    <n v="11"/>
    <x v="0"/>
    <n v="13250"/>
    <n v="6890"/>
  </r>
  <r>
    <s v="ORD0232"/>
    <s v="P015"/>
    <x v="16"/>
    <s v="Electronics"/>
    <s v="StoragePro"/>
    <x v="3"/>
    <x v="1"/>
    <x v="154"/>
    <n v="40"/>
    <n v="28"/>
    <n v="4500"/>
    <n v="6500"/>
    <n v="3"/>
    <n v="70"/>
    <n v="18"/>
    <x v="0"/>
    <n v="182000"/>
    <n v="56000"/>
  </r>
  <r>
    <s v="ORD0233"/>
    <s v="P014"/>
    <x v="7"/>
    <s v="Accessories"/>
    <s v="BagZone"/>
    <x v="1"/>
    <x v="1"/>
    <x v="101"/>
    <n v="60"/>
    <n v="17"/>
    <n v="900"/>
    <n v="1400"/>
    <n v="95"/>
    <n v="28"/>
    <n v="7"/>
    <x v="0"/>
    <n v="23800"/>
    <n v="8500"/>
  </r>
  <r>
    <s v="ORD0234"/>
    <s v="P006"/>
    <x v="19"/>
    <s v="Furniture"/>
    <s v="ComfortWorks"/>
    <x v="0"/>
    <x v="0"/>
    <x v="38"/>
    <n v="25"/>
    <n v="2"/>
    <n v="7000"/>
    <n v="9500"/>
    <n v="256"/>
    <n v="68"/>
    <n v="10"/>
    <x v="0"/>
    <n v="19000"/>
    <n v="5000"/>
  </r>
  <r>
    <s v="ORD0235"/>
    <s v="P020"/>
    <x v="6"/>
    <s v="Stationery"/>
    <s v="OfficeStore"/>
    <x v="0"/>
    <x v="0"/>
    <x v="176"/>
    <n v="83"/>
    <n v="25"/>
    <n v="42000"/>
    <n v="1800"/>
    <n v="8"/>
    <n v="24"/>
    <n v="18"/>
    <x v="0"/>
    <n v="45000"/>
    <n v="-1005000"/>
  </r>
  <r>
    <s v="ORD0236"/>
    <s v="P017"/>
    <x v="1"/>
    <s v="Accessories"/>
    <s v="PowerTech"/>
    <x v="3"/>
    <x v="1"/>
    <x v="177"/>
    <n v="77"/>
    <n v="63"/>
    <n v="900"/>
    <n v="1400"/>
    <n v="49"/>
    <n v="20"/>
    <n v="15"/>
    <x v="3"/>
    <n v="88200"/>
    <n v="31500"/>
  </r>
  <r>
    <s v="ORD0237"/>
    <s v="P005"/>
    <x v="15"/>
    <s v="Furniture"/>
    <s v="ComfortWorks"/>
    <x v="3"/>
    <x v="1"/>
    <x v="33"/>
    <n v="52"/>
    <n v="36"/>
    <n v="5500"/>
    <n v="7500"/>
    <n v="190"/>
    <n v="22"/>
    <n v="7"/>
    <x v="1"/>
    <n v="270000"/>
    <n v="72000"/>
  </r>
  <r>
    <s v="ORD0238"/>
    <s v="P012"/>
    <x v="18"/>
    <s v="Stationery"/>
    <s v="PaperPlus"/>
    <x v="2"/>
    <x v="2"/>
    <x v="19"/>
    <n v="23"/>
    <n v="3"/>
    <n v="70"/>
    <n v="120"/>
    <n v="185"/>
    <n v="65"/>
    <n v="9"/>
    <x v="1"/>
    <n v="360"/>
    <n v="150"/>
  </r>
  <r>
    <s v="ORD0239"/>
    <s v="P013"/>
    <x v="10"/>
    <s v="Furniture"/>
    <s v="LightHouse"/>
    <x v="1"/>
    <x v="1"/>
    <x v="79"/>
    <n v="32"/>
    <n v="31"/>
    <n v="650"/>
    <n v="1000"/>
    <n v="231"/>
    <n v="52"/>
    <n v="2"/>
    <x v="0"/>
    <n v="31000"/>
    <n v="10850"/>
  </r>
  <r>
    <s v="ORD0240"/>
    <s v="P001"/>
    <x v="14"/>
    <s v="Electronics"/>
    <s v="TechSupply"/>
    <x v="0"/>
    <x v="0"/>
    <x v="53"/>
    <n v="62"/>
    <n v="39"/>
    <n v="42000"/>
    <n v="52000"/>
    <n v="96"/>
    <n v="30"/>
    <n v="5"/>
    <x v="0"/>
    <n v="2028000"/>
    <n v="390000"/>
  </r>
  <r>
    <s v="ORD0241"/>
    <s v="P001"/>
    <x v="14"/>
    <s v="Electronics"/>
    <s v="TechSupply"/>
    <x v="1"/>
    <x v="1"/>
    <x v="35"/>
    <n v="194"/>
    <n v="49"/>
    <n v="42000"/>
    <n v="52000"/>
    <n v="136"/>
    <n v="21"/>
    <n v="20"/>
    <x v="0"/>
    <n v="2548000"/>
    <n v="490000"/>
  </r>
  <r>
    <s v="ORD0242"/>
    <s v="P015"/>
    <x v="16"/>
    <s v="Electronics"/>
    <s v="StoragePro"/>
    <x v="1"/>
    <x v="1"/>
    <x v="178"/>
    <n v="29"/>
    <n v="22"/>
    <n v="4500"/>
    <n v="6500"/>
    <n v="94"/>
    <n v="22"/>
    <n v="10"/>
    <x v="0"/>
    <n v="143000"/>
    <n v="44000"/>
  </r>
  <r>
    <s v="ORD0243"/>
    <s v="P019"/>
    <x v="20"/>
    <s v="Stationery"/>
    <s v="PaperPlus"/>
    <x v="3"/>
    <x v="1"/>
    <x v="179"/>
    <n v="36"/>
    <n v="7"/>
    <n v="120"/>
    <n v="200"/>
    <n v="210"/>
    <n v="76"/>
    <n v="6"/>
    <x v="0"/>
    <n v="1400"/>
    <n v="560"/>
  </r>
  <r>
    <s v="ORD0244"/>
    <s v="P008"/>
    <x v="5"/>
    <s v="Accessories"/>
    <s v="CableHub"/>
    <x v="0"/>
    <x v="0"/>
    <x v="8"/>
    <n v="151"/>
    <n v="118"/>
    <n v="120"/>
    <n v="250"/>
    <n v="206"/>
    <n v="30"/>
    <n v="2"/>
    <x v="3"/>
    <n v="29500"/>
    <n v="15340"/>
  </r>
  <r>
    <s v="ORD0245"/>
    <s v="P014"/>
    <x v="7"/>
    <s v="Accessories"/>
    <s v="BagZone"/>
    <x v="1"/>
    <x v="1"/>
    <x v="0"/>
    <n v="18"/>
    <n v="11"/>
    <n v="900"/>
    <n v="1400"/>
    <n v="176"/>
    <n v="45"/>
    <n v="9"/>
    <x v="4"/>
    <n v="15400"/>
    <n v="5500"/>
  </r>
  <r>
    <s v="ORD0246"/>
    <s v="P019"/>
    <x v="20"/>
    <s v="Stationery"/>
    <s v="PaperPlus"/>
    <x v="3"/>
    <x v="1"/>
    <x v="180"/>
    <n v="148"/>
    <n v="13"/>
    <n v="120"/>
    <n v="200"/>
    <n v="169"/>
    <n v="53"/>
    <n v="6"/>
    <x v="2"/>
    <n v="2600"/>
    <n v="1040"/>
  </r>
  <r>
    <s v="ORD0247"/>
    <s v="P008"/>
    <x v="5"/>
    <s v="Accessories"/>
    <s v="CableHub"/>
    <x v="2"/>
    <x v="2"/>
    <x v="158"/>
    <n v="166"/>
    <n v="2"/>
    <n v="120"/>
    <n v="250"/>
    <n v="189"/>
    <n v="26"/>
    <n v="18"/>
    <x v="0"/>
    <n v="500"/>
    <n v="260"/>
  </r>
  <r>
    <s v="ORD0248"/>
    <s v="P014"/>
    <x v="7"/>
    <s v="Accessories"/>
    <s v="BagZone"/>
    <x v="0"/>
    <x v="0"/>
    <x v="46"/>
    <n v="176"/>
    <n v="5"/>
    <n v="900"/>
    <n v="1400"/>
    <n v="118"/>
    <n v="28"/>
    <n v="15"/>
    <x v="2"/>
    <n v="7000"/>
    <n v="2500"/>
  </r>
  <r>
    <s v="ORD0249"/>
    <s v="P002"/>
    <x v="2"/>
    <s v="Electronics"/>
    <s v="TechSupply"/>
    <x v="1"/>
    <x v="1"/>
    <x v="181"/>
    <n v="169"/>
    <n v="158"/>
    <n v="450"/>
    <n v="700"/>
    <n v="139"/>
    <n v="78"/>
    <n v="10"/>
    <x v="0"/>
    <n v="110600"/>
    <n v="39500"/>
  </r>
  <r>
    <s v="ORD0250"/>
    <s v="P020"/>
    <x v="6"/>
    <s v="Stationery"/>
    <s v="OfficeStore"/>
    <x v="1"/>
    <x v="1"/>
    <x v="29"/>
    <n v="36"/>
    <n v="33"/>
    <n v="1200"/>
    <n v="1800"/>
    <n v="9"/>
    <n v="47"/>
    <n v="9"/>
    <x v="2"/>
    <n v="59400"/>
    <n v="19800"/>
  </r>
  <r>
    <s v="ORD0251"/>
    <s v="P004"/>
    <x v="3"/>
    <s v="Electronics"/>
    <s v="DisplayPro"/>
    <x v="3"/>
    <x v="1"/>
    <x v="182"/>
    <n v="170"/>
    <n v="42"/>
    <n v="8500"/>
    <n v="11000"/>
    <n v="64"/>
    <n v="23"/>
    <n v="18"/>
    <x v="3"/>
    <n v="462000"/>
    <n v="105000"/>
  </r>
  <r>
    <s v="ORD0252"/>
    <s v="P015"/>
    <x v="16"/>
    <s v="Electronics"/>
    <s v="StoragePro"/>
    <x v="0"/>
    <x v="0"/>
    <x v="31"/>
    <n v="36"/>
    <n v="32"/>
    <n v="4500"/>
    <n v="6500"/>
    <n v="70"/>
    <n v="76"/>
    <n v="11"/>
    <x v="3"/>
    <n v="208000"/>
    <n v="64000"/>
  </r>
  <r>
    <s v="ORD0253"/>
    <s v="P009"/>
    <x v="11"/>
    <s v="Electronics"/>
    <s v="AudioWorld"/>
    <x v="0"/>
    <x v="0"/>
    <x v="183"/>
    <n v="194"/>
    <n v="139"/>
    <n v="900"/>
    <n v="1500"/>
    <n v="150"/>
    <n v="73"/>
    <n v="16"/>
    <x v="0"/>
    <n v="208500"/>
    <n v="83400"/>
  </r>
  <r>
    <s v="ORD0254"/>
    <s v="P013"/>
    <x v="10"/>
    <s v="Furniture"/>
    <s v="LightHouse"/>
    <x v="0"/>
    <x v="0"/>
    <x v="68"/>
    <n v="186"/>
    <n v="93"/>
    <n v="650"/>
    <n v="1000"/>
    <n v="238"/>
    <n v="77"/>
    <n v="19"/>
    <x v="0"/>
    <n v="93000"/>
    <n v="32550"/>
  </r>
  <r>
    <s v="ORD0255"/>
    <s v="P016"/>
    <x v="13"/>
    <s v="Electronics"/>
    <s v="NetConnect"/>
    <x v="3"/>
    <x v="1"/>
    <x v="184"/>
    <n v="67"/>
    <n v="42"/>
    <n v="1600"/>
    <n v="2500"/>
    <n v="116"/>
    <n v="32"/>
    <n v="18"/>
    <x v="0"/>
    <n v="105000"/>
    <n v="37800"/>
  </r>
  <r>
    <s v="ORD0256"/>
    <s v="P001"/>
    <x v="14"/>
    <s v="Electronics"/>
    <s v="TechSupply"/>
    <x v="3"/>
    <x v="1"/>
    <x v="185"/>
    <n v="66"/>
    <n v="41"/>
    <n v="42000"/>
    <n v="52000"/>
    <n v="169"/>
    <n v="51"/>
    <n v="10"/>
    <x v="0"/>
    <n v="2132000"/>
    <n v="410000"/>
  </r>
  <r>
    <s v="ORD0257"/>
    <s v="P010"/>
    <x v="9"/>
    <s v="Electronics"/>
    <s v="VisionTech"/>
    <x v="1"/>
    <x v="1"/>
    <x v="186"/>
    <n v="45"/>
    <n v="35"/>
    <n v="1800"/>
    <n v="2800"/>
    <n v="37"/>
    <n v="58"/>
    <n v="13"/>
    <x v="0"/>
    <n v="98000"/>
    <n v="35000"/>
  </r>
  <r>
    <s v="ORD0258"/>
    <s v="P017"/>
    <x v="1"/>
    <s v="Accessories"/>
    <s v="PowerTech"/>
    <x v="2"/>
    <x v="2"/>
    <x v="31"/>
    <n v="95"/>
    <n v="94"/>
    <n v="900"/>
    <n v="1400"/>
    <n v="58"/>
    <n v="53"/>
    <n v="9"/>
    <x v="2"/>
    <n v="131600"/>
    <n v="47000"/>
  </r>
  <r>
    <s v="ORD0259"/>
    <s v="P014"/>
    <x v="7"/>
    <s v="Accessories"/>
    <s v="BagZone"/>
    <x v="3"/>
    <x v="1"/>
    <x v="8"/>
    <n v="95"/>
    <n v="17"/>
    <n v="900"/>
    <n v="1400"/>
    <n v="106"/>
    <n v="59"/>
    <n v="10"/>
    <x v="1"/>
    <n v="23800"/>
    <n v="8500"/>
  </r>
  <r>
    <s v="ORD0260"/>
    <s v="P016"/>
    <x v="13"/>
    <s v="Electronics"/>
    <s v="NetConnect"/>
    <x v="3"/>
    <x v="1"/>
    <x v="163"/>
    <n v="186"/>
    <n v="161"/>
    <n v="1600"/>
    <n v="2500"/>
    <n v="68"/>
    <n v="46"/>
    <n v="5"/>
    <x v="0"/>
    <n v="402500"/>
    <n v="144900"/>
  </r>
  <r>
    <s v="ORD0261"/>
    <s v="P016"/>
    <x v="13"/>
    <s v="Electronics"/>
    <s v="NetConnect"/>
    <x v="2"/>
    <x v="2"/>
    <x v="187"/>
    <n v="43"/>
    <n v="26"/>
    <n v="1600"/>
    <n v="2500"/>
    <n v="146"/>
    <n v="75"/>
    <n v="5"/>
    <x v="0"/>
    <n v="65000"/>
    <n v="23400"/>
  </r>
  <r>
    <s v="ORD0262"/>
    <s v="P015"/>
    <x v="16"/>
    <s v="Electronics"/>
    <s v="StoragePro"/>
    <x v="3"/>
    <x v="1"/>
    <x v="188"/>
    <n v="79"/>
    <n v="45"/>
    <n v="4500"/>
    <n v="6500"/>
    <n v="203"/>
    <n v="53"/>
    <n v="19"/>
    <x v="0"/>
    <n v="292500"/>
    <n v="90000"/>
  </r>
  <r>
    <s v="ORD0263"/>
    <s v="P001"/>
    <x v="14"/>
    <s v="Electronics"/>
    <s v="TechSupply"/>
    <x v="2"/>
    <x v="2"/>
    <x v="189"/>
    <n v="118"/>
    <n v="38"/>
    <n v="42000"/>
    <n v="52000"/>
    <n v="97"/>
    <n v="54"/>
    <n v="11"/>
    <x v="1"/>
    <n v="1976000"/>
    <n v="380000"/>
  </r>
  <r>
    <s v="ORD0264"/>
    <s v="P019"/>
    <x v="20"/>
    <s v="Stationery"/>
    <s v="PaperPlus"/>
    <x v="2"/>
    <x v="2"/>
    <x v="190"/>
    <n v="64"/>
    <n v="11"/>
    <n v="120"/>
    <n v="200"/>
    <n v="172"/>
    <n v="40"/>
    <n v="9"/>
    <x v="2"/>
    <n v="2200"/>
    <n v="880"/>
  </r>
  <r>
    <s v="ORD0265"/>
    <s v="P014"/>
    <x v="7"/>
    <s v="Accessories"/>
    <s v="BagZone"/>
    <x v="1"/>
    <x v="1"/>
    <x v="126"/>
    <n v="17"/>
    <n v="8"/>
    <n v="900"/>
    <n v="1400"/>
    <n v="257"/>
    <n v="39"/>
    <n v="19"/>
    <x v="1"/>
    <n v="11200"/>
    <n v="4000"/>
  </r>
  <r>
    <s v="ORD0266"/>
    <s v="P017"/>
    <x v="1"/>
    <s v="Accessories"/>
    <s v="PowerTech"/>
    <x v="2"/>
    <x v="2"/>
    <x v="175"/>
    <n v="123"/>
    <n v="45"/>
    <n v="900"/>
    <n v="1400"/>
    <n v="23"/>
    <n v="58"/>
    <n v="13"/>
    <x v="0"/>
    <n v="63000"/>
    <n v="22500"/>
  </r>
  <r>
    <s v="ORD0267"/>
    <s v="P003"/>
    <x v="8"/>
    <s v="Electronics"/>
    <s v="TechSupply"/>
    <x v="0"/>
    <x v="0"/>
    <x v="191"/>
    <n v="109"/>
    <m/>
    <n v="800"/>
    <n v="1200"/>
    <n v="259"/>
    <n v="45"/>
    <n v="19"/>
    <x v="3"/>
    <n v="0"/>
    <n v="0"/>
  </r>
  <r>
    <s v="ORD0268"/>
    <s v="P007"/>
    <x v="12"/>
    <s v="Electronics"/>
    <s v="PrintMax"/>
    <x v="2"/>
    <x v="2"/>
    <x v="37"/>
    <n v="107"/>
    <n v="56"/>
    <n v="9000"/>
    <n v="12500"/>
    <n v="178"/>
    <n v="64"/>
    <n v="18"/>
    <x v="1"/>
    <n v="700000"/>
    <n v="196000"/>
  </r>
  <r>
    <s v="ORD0269"/>
    <s v="P006"/>
    <x v="19"/>
    <s v="Furniture"/>
    <s v="ComfortWorks"/>
    <x v="3"/>
    <x v="1"/>
    <x v="192"/>
    <n v="98"/>
    <n v="9"/>
    <n v="7000"/>
    <n v="9500"/>
    <n v="162"/>
    <n v="52"/>
    <n v="7"/>
    <x v="0"/>
    <n v="85500"/>
    <n v="22500"/>
  </r>
  <r>
    <s v="ORD0270"/>
    <s v="P011"/>
    <x v="0"/>
    <s v="Stationery"/>
    <s v="PaperPlus"/>
    <x v="2"/>
    <x v="2"/>
    <x v="87"/>
    <n v="45"/>
    <n v="33"/>
    <n v="45"/>
    <n v="80"/>
    <n v="151"/>
    <n v="72"/>
    <n v="18"/>
    <x v="0"/>
    <n v="2640"/>
    <n v="1155"/>
  </r>
  <r>
    <s v="ORD0271"/>
    <s v="P014"/>
    <x v="7"/>
    <s v="Accessories"/>
    <s v="BagZone"/>
    <x v="0"/>
    <x v="0"/>
    <x v="193"/>
    <n v="166"/>
    <n v="144"/>
    <n v="900"/>
    <n v="1400"/>
    <n v="57"/>
    <n v="42"/>
    <n v="20"/>
    <x v="2"/>
    <n v="201600"/>
    <n v="72000"/>
  </r>
  <r>
    <s v="ORD0272"/>
    <s v="P014"/>
    <x v="7"/>
    <s v="Accessories"/>
    <s v="BagZone"/>
    <x v="1"/>
    <x v="1"/>
    <x v="162"/>
    <n v="83"/>
    <n v="70"/>
    <n v="900"/>
    <n v="1400"/>
    <n v="5"/>
    <n v="78"/>
    <n v="11"/>
    <x v="0"/>
    <n v="98000"/>
    <n v="35000"/>
  </r>
  <r>
    <s v="ORD0273"/>
    <s v="P019"/>
    <x v="20"/>
    <s v="Stationery"/>
    <s v="PaperPlus"/>
    <x v="1"/>
    <x v="1"/>
    <x v="160"/>
    <n v="12"/>
    <n v="3"/>
    <n v="120"/>
    <n v="200"/>
    <n v="92"/>
    <n v="51"/>
    <n v="19"/>
    <x v="0"/>
    <n v="600"/>
    <n v="240"/>
  </r>
  <r>
    <s v="ORD0274"/>
    <s v="P019"/>
    <x v="20"/>
    <s v="Stationery"/>
    <s v="PaperPlus"/>
    <x v="0"/>
    <x v="0"/>
    <x v="144"/>
    <n v="159"/>
    <n v="31"/>
    <n v="120"/>
    <n v="200"/>
    <n v="77"/>
    <n v="30"/>
    <n v="18"/>
    <x v="1"/>
    <n v="6200"/>
    <n v="2480"/>
  </r>
  <r>
    <s v="ORD0275"/>
    <s v="P001"/>
    <x v="14"/>
    <s v="Electronics"/>
    <s v="TechSupply"/>
    <x v="1"/>
    <x v="1"/>
    <x v="58"/>
    <n v="48"/>
    <n v="33"/>
    <n v="42000"/>
    <n v="52000"/>
    <n v="254"/>
    <n v="72"/>
    <n v="16"/>
    <x v="0"/>
    <n v="1716000"/>
    <n v="330000"/>
  </r>
  <r>
    <s v="ORD0276"/>
    <s v="P001"/>
    <x v="14"/>
    <s v="Electronics"/>
    <s v="TechSupply"/>
    <x v="3"/>
    <x v="1"/>
    <x v="172"/>
    <n v="188"/>
    <n v="60"/>
    <n v="42000"/>
    <n v="52000"/>
    <n v="184"/>
    <n v="37"/>
    <n v="7"/>
    <x v="0"/>
    <n v="3120000"/>
    <n v="600000"/>
  </r>
  <r>
    <s v="ORD0277"/>
    <s v="P019"/>
    <x v="20"/>
    <s v="Stationery"/>
    <s v="PaperPlus"/>
    <x v="1"/>
    <x v="1"/>
    <x v="133"/>
    <n v="54"/>
    <n v="28"/>
    <n v="120"/>
    <n v="200"/>
    <n v="200"/>
    <n v="21"/>
    <n v="3"/>
    <x v="0"/>
    <n v="5600"/>
    <n v="2240"/>
  </r>
  <r>
    <s v="ORD0278"/>
    <s v="P019"/>
    <x v="20"/>
    <s v="Stationery"/>
    <s v="PaperPlus"/>
    <x v="1"/>
    <x v="1"/>
    <x v="31"/>
    <n v="18"/>
    <n v="7"/>
    <n v="120"/>
    <n v="200"/>
    <n v="130"/>
    <n v="34"/>
    <n v="3"/>
    <x v="0"/>
    <n v="1400"/>
    <n v="560"/>
  </r>
  <r>
    <s v="ORD0279"/>
    <s v="P011"/>
    <x v="0"/>
    <s v="Stationery"/>
    <s v="PaperPlus"/>
    <x v="1"/>
    <x v="1"/>
    <x v="14"/>
    <n v="82"/>
    <n v="53"/>
    <n v="45"/>
    <n v="80"/>
    <n v="132"/>
    <n v="76"/>
    <n v="17"/>
    <x v="2"/>
    <n v="4240"/>
    <n v="1855"/>
  </r>
  <r>
    <s v="ORD0280"/>
    <s v="P008"/>
    <x v="5"/>
    <s v="Accessories"/>
    <s v="CableHub"/>
    <x v="2"/>
    <x v="2"/>
    <x v="194"/>
    <n v="188"/>
    <n v="149"/>
    <n v="120"/>
    <n v="250"/>
    <n v="116"/>
    <n v="46"/>
    <n v="11"/>
    <x v="0"/>
    <n v="37250"/>
    <n v="19370"/>
  </r>
  <r>
    <s v="ORD0281"/>
    <s v="P001"/>
    <x v="14"/>
    <s v="Electronics"/>
    <s v="TechSupply"/>
    <x v="0"/>
    <x v="0"/>
    <x v="183"/>
    <n v="49"/>
    <n v="10"/>
    <n v="42000"/>
    <n v="52000"/>
    <n v="186"/>
    <n v="44"/>
    <n v="7"/>
    <x v="0"/>
    <n v="520000"/>
    <n v="100000"/>
  </r>
  <r>
    <s v="ORD0282"/>
    <s v="P013"/>
    <x v="10"/>
    <s v="Furniture"/>
    <s v="LightHouse"/>
    <x v="3"/>
    <x v="1"/>
    <x v="195"/>
    <n v="90"/>
    <n v="68"/>
    <n v="650"/>
    <n v="1000"/>
    <n v="200"/>
    <n v="41"/>
    <n v="14"/>
    <x v="1"/>
    <n v="68000"/>
    <n v="23800"/>
  </r>
  <r>
    <s v="ORD0283"/>
    <s v="P014"/>
    <x v="7"/>
    <s v="Accessories"/>
    <s v="BagZone"/>
    <x v="3"/>
    <x v="1"/>
    <x v="196"/>
    <n v="67"/>
    <n v="49"/>
    <n v="900"/>
    <n v="1400"/>
    <n v="100"/>
    <n v="49"/>
    <n v="11"/>
    <x v="0"/>
    <n v="68600"/>
    <n v="24500"/>
  </r>
  <r>
    <s v="ORD0284"/>
    <s v="P002"/>
    <x v="2"/>
    <s v="Electronics"/>
    <s v="TechSupply"/>
    <x v="3"/>
    <x v="1"/>
    <x v="81"/>
    <n v="11"/>
    <n v="5"/>
    <n v="450"/>
    <n v="700"/>
    <n v="82"/>
    <n v="35"/>
    <n v="6"/>
    <x v="0"/>
    <n v="3500"/>
    <n v="1250"/>
  </r>
  <r>
    <s v="ORD0285"/>
    <s v="P018"/>
    <x v="4"/>
    <s v="Furniture"/>
    <s v="OfficeStore"/>
    <x v="0"/>
    <x v="0"/>
    <x v="32"/>
    <n v="118"/>
    <n v="59"/>
    <n v="5000"/>
    <n v="7000"/>
    <n v="125"/>
    <n v="30"/>
    <n v="13"/>
    <x v="0"/>
    <n v="413000"/>
    <n v="118000"/>
  </r>
  <r>
    <s v="ORD0286"/>
    <s v="P013"/>
    <x v="10"/>
    <s v="Furniture"/>
    <s v="LightHouse"/>
    <x v="0"/>
    <x v="0"/>
    <x v="197"/>
    <n v="126"/>
    <n v="64"/>
    <n v="650"/>
    <n v="1000"/>
    <n v="107"/>
    <n v="34"/>
    <n v="16"/>
    <x v="1"/>
    <n v="64000"/>
    <n v="22400"/>
  </r>
  <r>
    <s v="ORD0287"/>
    <s v="P020"/>
    <x v="6"/>
    <s v="Stationery"/>
    <s v="OfficeStore"/>
    <x v="2"/>
    <x v="2"/>
    <x v="198"/>
    <n v="99"/>
    <n v="68"/>
    <n v="1200"/>
    <n v="1800"/>
    <n v="129"/>
    <n v="45"/>
    <n v="18"/>
    <x v="0"/>
    <n v="122400"/>
    <n v="40800"/>
  </r>
  <r>
    <s v="ORD0288"/>
    <s v="P017"/>
    <x v="1"/>
    <s v="Accessories"/>
    <s v="PowerTech"/>
    <x v="1"/>
    <x v="1"/>
    <x v="199"/>
    <n v="74"/>
    <n v="49"/>
    <n v="900"/>
    <n v="1400"/>
    <n v="17"/>
    <n v="62"/>
    <n v="20"/>
    <x v="0"/>
    <n v="68600"/>
    <n v="24500"/>
  </r>
  <r>
    <s v="ORD0289"/>
    <s v="P013"/>
    <x v="10"/>
    <s v="Furniture"/>
    <s v="LightHouse"/>
    <x v="1"/>
    <x v="1"/>
    <x v="200"/>
    <n v="50"/>
    <n v="49"/>
    <n v="650"/>
    <n v="1000"/>
    <n v="121"/>
    <n v="40"/>
    <n v="8"/>
    <x v="1"/>
    <n v="49000"/>
    <n v="17150"/>
  </r>
  <r>
    <s v="ORD0290"/>
    <s v="P003"/>
    <x v="8"/>
    <s v="Electronics"/>
    <s v="TechSupply"/>
    <x v="3"/>
    <x v="1"/>
    <x v="45"/>
    <n v="199"/>
    <n v="76"/>
    <n v="800"/>
    <n v="1200"/>
    <n v="101"/>
    <n v="24"/>
    <n v="11"/>
    <x v="0"/>
    <n v="91200"/>
    <n v="30400"/>
  </r>
  <r>
    <s v="ORD0291"/>
    <s v="P005"/>
    <x v="15"/>
    <s v="Furniture"/>
    <s v="ComfortWorks"/>
    <x v="2"/>
    <x v="2"/>
    <x v="201"/>
    <n v="96"/>
    <n v="51"/>
    <n v="5500"/>
    <n v="7500"/>
    <n v="240"/>
    <n v="69"/>
    <n v="6"/>
    <x v="3"/>
    <n v="382500"/>
    <n v="102000"/>
  </r>
  <r>
    <s v="ORD0292"/>
    <s v="P001"/>
    <x v="14"/>
    <s v="Electronics"/>
    <s v="TechSupply"/>
    <x v="3"/>
    <x v="1"/>
    <x v="117"/>
    <n v="209"/>
    <n v="169"/>
    <n v="42000"/>
    <n v="52000"/>
    <n v="182"/>
    <n v="77"/>
    <n v="15"/>
    <x v="0"/>
    <n v="8788000"/>
    <n v="1690000"/>
  </r>
  <r>
    <s v="ORD0293"/>
    <s v="P008"/>
    <x v="5"/>
    <s v="Accessories"/>
    <s v="CableHub"/>
    <x v="2"/>
    <x v="2"/>
    <x v="188"/>
    <n v="165"/>
    <n v="25"/>
    <n v="120"/>
    <n v="250"/>
    <n v="96"/>
    <n v="38"/>
    <n v="5"/>
    <x v="0"/>
    <n v="6250"/>
    <n v="3250"/>
  </r>
  <r>
    <s v="ORD0294"/>
    <s v="P002"/>
    <x v="2"/>
    <s v="Electronics"/>
    <s v="TechSupply"/>
    <x v="2"/>
    <x v="2"/>
    <x v="98"/>
    <n v="160"/>
    <n v="41"/>
    <n v="450"/>
    <n v="700"/>
    <n v="223"/>
    <n v="32"/>
    <n v="11"/>
    <x v="0"/>
    <n v="28700"/>
    <n v="10250"/>
  </r>
  <r>
    <s v="ORD0295"/>
    <s v="P018"/>
    <x v="4"/>
    <s v="Furniture"/>
    <s v="OfficeStore"/>
    <x v="3"/>
    <x v="1"/>
    <x v="163"/>
    <n v="168"/>
    <n v="45"/>
    <n v="5000"/>
    <n v="7000"/>
    <n v="119"/>
    <n v="56"/>
    <n v="17"/>
    <x v="1"/>
    <n v="315000"/>
    <n v="90000"/>
  </r>
  <r>
    <s v="ORD0296"/>
    <s v="P014"/>
    <x v="7"/>
    <s v="Accessories"/>
    <s v="BagZone"/>
    <x v="3"/>
    <x v="1"/>
    <x v="121"/>
    <n v="33"/>
    <n v="18"/>
    <n v="900"/>
    <n v="1400"/>
    <n v="24"/>
    <n v="76"/>
    <n v="20"/>
    <x v="0"/>
    <n v="25200"/>
    <n v="9000"/>
  </r>
  <r>
    <s v="ORD0297"/>
    <s v="P008"/>
    <x v="5"/>
    <s v="Accessories"/>
    <s v="CableHub"/>
    <x v="1"/>
    <x v="1"/>
    <x v="1"/>
    <n v="207"/>
    <n v="81"/>
    <n v="120"/>
    <n v="250"/>
    <n v="110"/>
    <n v="69"/>
    <n v="13"/>
    <x v="1"/>
    <n v="20250"/>
    <n v="10530"/>
  </r>
  <r>
    <s v="ORD0298"/>
    <s v="P014"/>
    <x v="7"/>
    <s v="Accessories"/>
    <s v="BagZone"/>
    <x v="2"/>
    <x v="2"/>
    <x v="116"/>
    <n v="217"/>
    <n v="56"/>
    <n v="900"/>
    <n v="1400"/>
    <n v="146"/>
    <n v="53"/>
    <n v="4"/>
    <x v="0"/>
    <n v="78400"/>
    <n v="28000"/>
  </r>
  <r>
    <s v="ORD0299"/>
    <s v="P015"/>
    <x v="16"/>
    <s v="Electronics"/>
    <s v="StoragePro"/>
    <x v="3"/>
    <x v="1"/>
    <x v="50"/>
    <n v="133"/>
    <n v="115"/>
    <n v="4500"/>
    <n v="6500"/>
    <n v="263"/>
    <n v="23"/>
    <n v="8"/>
    <x v="0"/>
    <n v="747500"/>
    <n v="230000"/>
  </r>
  <r>
    <s v="ORD0300"/>
    <s v="P016"/>
    <x v="13"/>
    <s v="Electronics"/>
    <s v="NetConnect"/>
    <x v="0"/>
    <x v="0"/>
    <x v="202"/>
    <n v="184"/>
    <n v="143"/>
    <n v="1600"/>
    <n v="2500"/>
    <n v="136"/>
    <n v="31"/>
    <n v="19"/>
    <x v="0"/>
    <n v="357500"/>
    <n v="128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5:G28" firstHeaderRow="0" firstDataRow="1" firstDataCol="1"/>
  <pivotFields count="19">
    <pivotField showAll="0"/>
    <pivotField showAll="0"/>
    <pivotField axis="axisRow" showAll="0">
      <items count="23">
        <item x="17"/>
        <item x="21"/>
        <item x="7"/>
        <item x="10"/>
        <item x="16"/>
        <item x="4"/>
        <item x="11"/>
        <item x="8"/>
        <item x="14"/>
        <item x="3"/>
        <item x="0"/>
        <item x="15"/>
        <item x="19"/>
        <item x="18"/>
        <item x="1"/>
        <item x="12"/>
        <item x="13"/>
        <item x="20"/>
        <item x="5"/>
        <item x="9"/>
        <item x="6"/>
        <item x="2"/>
        <item t="default"/>
      </items>
    </pivotField>
    <pivotField showAll="0"/>
    <pivotField showAll="0"/>
    <pivotField showAll="0"/>
    <pivotField showAll="0"/>
    <pivotField numFmtId="14" showAll="0" defaultSubtotal="0">
      <items count="14">
        <item x="0"/>
        <item x="1"/>
        <item x="2"/>
        <item x="3"/>
        <item x="4"/>
        <item x="5"/>
        <item x="6"/>
        <item x="7"/>
        <item x="8"/>
        <item x="9"/>
        <item x="10"/>
        <item x="11"/>
        <item x="12"/>
        <item x="13"/>
      </items>
    </pivotField>
    <pivotField showAll="0"/>
    <pivotField dataField="1" showAll="0"/>
    <pivotField showAll="0"/>
    <pivotField showAll="0"/>
    <pivotField showAll="0"/>
    <pivotField showAll="0"/>
    <pivotField showAll="0"/>
    <pivotField showAll="0"/>
    <pivotField dataField="1" numFmtId="164" showAll="0"/>
    <pivotField numFmtId="164" showAll="0"/>
    <pivotField showAll="0" defaultSubtotal="0">
      <items count="4">
        <item x="0"/>
        <item x="1"/>
        <item x="2"/>
        <item x="3"/>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Total Sales" fld="16" baseField="0" baseItem="0" numFmtId="164"/>
    <dataField name="Count of Quantity Sold" fld="9" subtotal="count" baseField="0" baseItem="0"/>
  </dataFields>
  <formats count="2">
    <format dxfId="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2:B28" firstHeaderRow="1" firstDataRow="1" firstDataCol="1"/>
  <pivotFields count="19">
    <pivotField showAll="0"/>
    <pivotField showAll="0"/>
    <pivotField showAll="0"/>
    <pivotField showAll="0"/>
    <pivotField showAll="0"/>
    <pivotField showAll="0"/>
    <pivotField showAll="0"/>
    <pivotField numFmtId="14" showAll="0" defaultSubtotal="0">
      <items count="14">
        <item x="0"/>
        <item x="1"/>
        <item x="2"/>
        <item x="3"/>
        <item x="4"/>
        <item x="5"/>
        <item x="6"/>
        <item x="7"/>
        <item x="8"/>
        <item x="9"/>
        <item x="10"/>
        <item x="11"/>
        <item x="12"/>
        <item x="13"/>
      </items>
    </pivotField>
    <pivotField showAll="0"/>
    <pivotField dataField="1" showAll="0"/>
    <pivotField showAll="0"/>
    <pivotField showAll="0"/>
    <pivotField showAll="0"/>
    <pivotField showAll="0"/>
    <pivotField showAll="0"/>
    <pivotField axis="axisRow" showAll="0">
      <items count="6">
        <item x="2"/>
        <item x="0"/>
        <item x="4"/>
        <item x="1"/>
        <item x="3"/>
        <item t="default"/>
      </items>
    </pivotField>
    <pivotField numFmtId="164" showAll="0"/>
    <pivotField numFmtId="164" showAll="0"/>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Count of Quantity Sold" fld="9" subtotal="count" baseField="0" baseItem="0"/>
  </dataField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I5:J19" firstHeaderRow="1" firstDataRow="1" firstDataCol="1"/>
  <pivotFields count="19">
    <pivotField showAll="0"/>
    <pivotField showAll="0"/>
    <pivotField showAll="0"/>
    <pivotField showAll="0"/>
    <pivotField showAll="0"/>
    <pivotField showAll="0"/>
    <pivotField showAll="0"/>
    <pivotField axis="axisRow" numFmtId="14" showAll="0" defaultSubtotal="0">
      <items count="14">
        <item x="0"/>
        <item x="1"/>
        <item x="2"/>
        <item x="3"/>
        <item x="4"/>
        <item x="5"/>
        <item x="6"/>
        <item x="7"/>
        <item x="8"/>
        <item x="9"/>
        <item x="10"/>
        <item x="11"/>
        <item x="12"/>
        <item x="13"/>
      </items>
    </pivotField>
    <pivotField showAll="0"/>
    <pivotField showAll="0"/>
    <pivotField showAll="0"/>
    <pivotField showAll="0"/>
    <pivotField showAll="0"/>
    <pivotField showAll="0"/>
    <pivotField showAll="0"/>
    <pivotField showAll="0"/>
    <pivotField dataField="1" numFmtId="164" showAll="0"/>
    <pivotField numFmtId="164" showAll="0"/>
    <pivotField axis="axisRow" showAll="0" defaultSubtotal="0">
      <items count="4">
        <item x="0"/>
        <item x="1"/>
        <item x="2"/>
        <item x="3"/>
      </items>
    </pivotField>
  </pivotFields>
  <rowFields count="2">
    <field x="18"/>
    <field x="7"/>
  </rowFields>
  <rowItems count="14">
    <i>
      <x v="1"/>
    </i>
    <i r="1">
      <x v="1"/>
    </i>
    <i r="1">
      <x v="2"/>
    </i>
    <i r="1">
      <x v="3"/>
    </i>
    <i r="1">
      <x v="4"/>
    </i>
    <i r="1">
      <x v="5"/>
    </i>
    <i r="1">
      <x v="6"/>
    </i>
    <i r="1">
      <x v="7"/>
    </i>
    <i r="1">
      <x v="8"/>
    </i>
    <i r="1">
      <x v="9"/>
    </i>
    <i r="1">
      <x v="10"/>
    </i>
    <i r="1">
      <x v="11"/>
    </i>
    <i r="1">
      <x v="12"/>
    </i>
    <i t="grand">
      <x/>
    </i>
  </rowItems>
  <colItems count="1">
    <i/>
  </colItems>
  <dataFields count="1">
    <dataField name="Sum of Total Sales" fld="16" baseField="0" baseItem="0"/>
  </dataFields>
  <formats count="2">
    <format dxfId="4">
      <pivotArea collapsedLevelsAreSubtotals="1" fieldPosition="0">
        <references count="2">
          <reference field="7" count="12">
            <x v="1"/>
            <x v="2"/>
            <x v="3"/>
            <x v="4"/>
            <x v="5"/>
            <x v="6"/>
            <x v="7"/>
            <x v="8"/>
            <x v="9"/>
            <x v="10"/>
            <x v="11"/>
            <x v="12"/>
          </reference>
          <reference field="18" count="1" selected="0">
            <x v="1"/>
          </reference>
        </references>
      </pivotArea>
    </format>
    <format dxfId="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5:C9" firstHeaderRow="0" firstDataRow="1" firstDataCol="1"/>
  <pivotFields count="19">
    <pivotField showAll="0"/>
    <pivotField showAll="0"/>
    <pivotField showAll="0"/>
    <pivotField showAll="0"/>
    <pivotField showAll="0"/>
    <pivotField showAll="0"/>
    <pivotField axis="axisRow" showAll="0">
      <items count="4">
        <item x="1"/>
        <item x="0"/>
        <item x="2"/>
        <item t="default"/>
      </items>
    </pivotField>
    <pivotField numFmtId="14" showAll="0" defaultSubtotal="0">
      <items count="14">
        <item x="0"/>
        <item x="1"/>
        <item x="2"/>
        <item x="3"/>
        <item x="4"/>
        <item x="5"/>
        <item x="6"/>
        <item x="7"/>
        <item x="8"/>
        <item x="9"/>
        <item x="10"/>
        <item x="11"/>
        <item x="12"/>
        <item x="13"/>
      </items>
    </pivotField>
    <pivotField showAll="0"/>
    <pivotField showAll="0"/>
    <pivotField showAll="0"/>
    <pivotField showAll="0"/>
    <pivotField showAll="0"/>
    <pivotField showAll="0"/>
    <pivotField showAll="0"/>
    <pivotField showAll="0"/>
    <pivotField dataField="1" numFmtId="164" showAll="0"/>
    <pivotField dataField="1" numFmtId="164" showAll="0"/>
    <pivotField showAll="0" defaultSubtotal="0">
      <items count="4">
        <item x="0"/>
        <item x="1"/>
        <item x="2"/>
        <item x="3"/>
      </items>
    </pivotField>
  </pivotFields>
  <rowFields count="1">
    <field x="6"/>
  </rowFields>
  <rowItems count="4">
    <i>
      <x/>
    </i>
    <i>
      <x v="1"/>
    </i>
    <i>
      <x v="2"/>
    </i>
    <i t="grand">
      <x/>
    </i>
  </rowItems>
  <colFields count="1">
    <field x="-2"/>
  </colFields>
  <colItems count="2">
    <i>
      <x/>
    </i>
    <i i="1">
      <x v="1"/>
    </i>
  </colItems>
  <dataFields count="2">
    <dataField name="Sum of Total Sales" fld="16" baseField="0" baseItem="0"/>
    <dataField name="Sum of Total Profit" fld="17" baseField="0" baseItem="0"/>
  </dataFields>
  <formats count="1">
    <format dxfId="5">
      <pivotArea outline="0" collapsedLevelsAreSubtotals="1" fieldPosition="0"/>
    </format>
  </format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3:C18" firstHeaderRow="0" firstDataRow="1" firstDataCol="1"/>
  <pivotFields count="19">
    <pivotField showAll="0"/>
    <pivotField showAll="0"/>
    <pivotField showAll="0"/>
    <pivotField showAll="0"/>
    <pivotField showAll="0"/>
    <pivotField axis="axisRow" showAll="0">
      <items count="5">
        <item x="0"/>
        <item x="3"/>
        <item x="2"/>
        <item x="1"/>
        <item t="default"/>
      </items>
    </pivotField>
    <pivotField showAll="0"/>
    <pivotField numFmtId="14" showAll="0" defaultSubtotal="0">
      <items count="14">
        <item x="0"/>
        <item x="1"/>
        <item x="2"/>
        <item x="3"/>
        <item x="4"/>
        <item x="5"/>
        <item x="6"/>
        <item x="7"/>
        <item x="8"/>
        <item x="9"/>
        <item x="10"/>
        <item x="11"/>
        <item x="12"/>
        <item x="13"/>
      </items>
    </pivotField>
    <pivotField showAll="0"/>
    <pivotField showAll="0"/>
    <pivotField showAll="0"/>
    <pivotField showAll="0"/>
    <pivotField showAll="0"/>
    <pivotField showAll="0"/>
    <pivotField showAll="0"/>
    <pivotField showAll="0"/>
    <pivotField dataField="1" numFmtId="164" showAll="0"/>
    <pivotField dataField="1" numFmtId="164" showAll="0"/>
    <pivotField showAll="0" defaultSubtotal="0">
      <items count="4">
        <item x="0"/>
        <item x="1"/>
        <item x="2"/>
        <item x="3"/>
      </items>
    </pivotField>
  </pivotFields>
  <rowFields count="1">
    <field x="5"/>
  </rowFields>
  <rowItems count="5">
    <i>
      <x/>
    </i>
    <i>
      <x v="1"/>
    </i>
    <i>
      <x v="2"/>
    </i>
    <i>
      <x v="3"/>
    </i>
    <i t="grand">
      <x/>
    </i>
  </rowItems>
  <colFields count="1">
    <field x="-2"/>
  </colFields>
  <colItems count="2">
    <i>
      <x/>
    </i>
    <i i="1">
      <x v="1"/>
    </i>
  </colItems>
  <dataFields count="2">
    <dataField name="Sum of Total Sales" fld="16" baseField="0" baseItem="0"/>
    <dataField name="Sum of Total Profit" fld="17" baseField="0" baseItem="0"/>
  </dataFields>
  <formats count="1">
    <format dxfId="6">
      <pivotArea outline="0" collapsedLevelsAreSubtotals="1" fieldPosition="0"/>
    </format>
  </format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5" count="1" selected="0">
            <x v="0"/>
          </reference>
        </references>
      </pivotArea>
    </chartFormat>
    <chartFormat chart="3" format="19">
      <pivotArea type="data" outline="0" fieldPosition="0">
        <references count="2">
          <reference field="4294967294" count="1" selected="0">
            <x v="1"/>
          </reference>
          <reference field="5" count="1" selected="0">
            <x v="1"/>
          </reference>
        </references>
      </pivotArea>
    </chartFormat>
    <chartFormat chart="3" format="20">
      <pivotArea type="data" outline="0" fieldPosition="0">
        <references count="2">
          <reference field="4294967294" count="1" selected="0">
            <x v="1"/>
          </reference>
          <reference field="5" count="1" selected="0">
            <x v="2"/>
          </reference>
        </references>
      </pivotArea>
    </chartFormat>
    <chartFormat chart="3" format="21">
      <pivotArea type="data" outline="0" fieldPosition="0">
        <references count="2">
          <reference field="4294967294" count="1" selected="0">
            <x v="1"/>
          </reference>
          <reference field="5" count="1" selected="0">
            <x v="3"/>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arehouse" sourceName="Warehouse">
  <pivotTables>
    <pivotTable tabId="2" name="PivotTable5"/>
  </pivotTables>
  <data>
    <tabular pivotCacheId="1">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lean_date" sourceName="clean date">
  <pivotTables>
    <pivotTable tabId="2" name="PivotTable15"/>
    <pivotTable tabId="2" name="PivotTable1"/>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Other2" rowHeight="792000"/>
  <slicer name="Warehouse" cache="Slicer_Warehouse" caption="Warehouse" style="SlicerStyleOther2" rowHeight="720000"/>
  <slicer name="clean date" cache="Slicer_clean_date" caption="clean date" style="SlicerStyleOther2" rowHeight="72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GridLines="0" zoomScale="78" zoomScaleNormal="78" workbookViewId="0">
      <selection activeCell="B7" sqref="B7"/>
    </sheetView>
  </sheetViews>
  <sheetFormatPr defaultRowHeight="15" x14ac:dyDescent="0.25"/>
  <cols>
    <col min="1" max="1" width="13.5703125" customWidth="1"/>
    <col min="2" max="2" width="17.85546875" customWidth="1"/>
    <col min="3" max="3" width="17.7109375" bestFit="1" customWidth="1"/>
    <col min="5" max="5" width="15.28515625" customWidth="1"/>
    <col min="6" max="6" width="18.140625" bestFit="1" customWidth="1"/>
    <col min="7" max="7" width="21.42578125" bestFit="1" customWidth="1"/>
    <col min="8" max="8" width="13.28515625" customWidth="1"/>
    <col min="9" max="9" width="13.5703125" customWidth="1"/>
    <col min="10" max="10" width="17.85546875" customWidth="1"/>
    <col min="11" max="251" width="16.42578125" bestFit="1" customWidth="1"/>
    <col min="252" max="252" width="12.140625" customWidth="1"/>
    <col min="253" max="254" width="13.85546875" bestFit="1" customWidth="1"/>
    <col min="255" max="255" width="15.85546875" bestFit="1" customWidth="1"/>
    <col min="256" max="257" width="13.85546875" bestFit="1" customWidth="1"/>
    <col min="258" max="258" width="15.85546875" bestFit="1" customWidth="1"/>
    <col min="259" max="259" width="12.7109375" bestFit="1" customWidth="1"/>
    <col min="260" max="260" width="15.85546875" bestFit="1" customWidth="1"/>
    <col min="261" max="263" width="13.85546875" bestFit="1" customWidth="1"/>
    <col min="264" max="264" width="15.85546875" bestFit="1" customWidth="1"/>
    <col min="265" max="265" width="12.7109375" bestFit="1" customWidth="1"/>
    <col min="266" max="266" width="15.85546875" bestFit="1" customWidth="1"/>
    <col min="267" max="267" width="12.7109375" bestFit="1" customWidth="1"/>
    <col min="268" max="268" width="15.85546875" bestFit="1" customWidth="1"/>
    <col min="269" max="269" width="13.85546875" bestFit="1" customWidth="1"/>
    <col min="270" max="270" width="15.85546875" bestFit="1" customWidth="1"/>
    <col min="271" max="271" width="12.7109375" bestFit="1" customWidth="1"/>
    <col min="272" max="272" width="15.85546875" bestFit="1" customWidth="1"/>
    <col min="273" max="273" width="12.7109375" bestFit="1" customWidth="1"/>
    <col min="274" max="274" width="15.85546875" bestFit="1" customWidth="1"/>
    <col min="275" max="275" width="12.7109375" bestFit="1" customWidth="1"/>
    <col min="276" max="276" width="15.85546875" bestFit="1" customWidth="1"/>
    <col min="277" max="277" width="15.140625" bestFit="1" customWidth="1"/>
    <col min="278" max="278" width="15.85546875" bestFit="1" customWidth="1"/>
    <col min="279" max="279" width="13.85546875" bestFit="1" customWidth="1"/>
    <col min="280" max="280" width="15.85546875" bestFit="1" customWidth="1"/>
    <col min="281" max="281" width="12.7109375" bestFit="1" customWidth="1"/>
    <col min="282" max="282" width="15.85546875" bestFit="1" customWidth="1"/>
    <col min="283" max="283" width="13.85546875" bestFit="1" customWidth="1"/>
    <col min="284" max="284" width="15.85546875" bestFit="1" customWidth="1"/>
    <col min="285" max="285" width="13.85546875" bestFit="1" customWidth="1"/>
    <col min="286" max="286" width="15.85546875" bestFit="1" customWidth="1"/>
    <col min="287" max="287" width="12.7109375" bestFit="1" customWidth="1"/>
    <col min="288" max="288" width="15.85546875" bestFit="1" customWidth="1"/>
    <col min="289" max="290" width="13.85546875" bestFit="1" customWidth="1"/>
    <col min="291" max="291" width="15.85546875" bestFit="1" customWidth="1"/>
    <col min="292" max="292" width="12.7109375" bestFit="1" customWidth="1"/>
    <col min="293" max="293" width="15.85546875" bestFit="1" customWidth="1"/>
    <col min="294" max="294" width="12.7109375" bestFit="1" customWidth="1"/>
    <col min="295" max="295" width="15.85546875" bestFit="1" customWidth="1"/>
    <col min="296" max="296" width="13.85546875" bestFit="1" customWidth="1"/>
    <col min="297" max="297" width="15.85546875" bestFit="1" customWidth="1"/>
    <col min="298" max="298" width="13.85546875" bestFit="1" customWidth="1"/>
    <col min="299" max="299" width="15.85546875" bestFit="1" customWidth="1"/>
    <col min="300" max="300" width="12.7109375" bestFit="1" customWidth="1"/>
    <col min="301" max="301" width="15.85546875" bestFit="1" customWidth="1"/>
    <col min="302" max="302" width="12.7109375" bestFit="1" customWidth="1"/>
    <col min="303" max="303" width="15.85546875" bestFit="1" customWidth="1"/>
    <col min="304" max="305" width="15.140625" bestFit="1" customWidth="1"/>
    <col min="306" max="306" width="15.85546875" bestFit="1" customWidth="1"/>
    <col min="307" max="307" width="12.7109375" bestFit="1" customWidth="1"/>
    <col min="308" max="308" width="15.85546875" bestFit="1" customWidth="1"/>
    <col min="309" max="309" width="13.85546875" bestFit="1" customWidth="1"/>
    <col min="310" max="310" width="15.85546875" bestFit="1" customWidth="1"/>
    <col min="311" max="312" width="12.7109375" bestFit="1" customWidth="1"/>
    <col min="313" max="313" width="15.85546875" bestFit="1" customWidth="1"/>
    <col min="314" max="314" width="13.85546875" bestFit="1" customWidth="1"/>
    <col min="315" max="315" width="15.85546875" bestFit="1" customWidth="1"/>
    <col min="316" max="316" width="13.85546875" bestFit="1" customWidth="1"/>
    <col min="317" max="317" width="15.85546875" bestFit="1" customWidth="1"/>
    <col min="318" max="318" width="13.85546875" bestFit="1" customWidth="1"/>
    <col min="319" max="319" width="15.85546875" bestFit="1" customWidth="1"/>
    <col min="320" max="321" width="13.85546875" bestFit="1" customWidth="1"/>
    <col min="322" max="322" width="15.85546875" bestFit="1" customWidth="1"/>
    <col min="323" max="323" width="13.85546875" bestFit="1" customWidth="1"/>
    <col min="324" max="324" width="15.85546875" bestFit="1" customWidth="1"/>
    <col min="325" max="325" width="15.140625" bestFit="1" customWidth="1"/>
    <col min="326" max="326" width="15.85546875" bestFit="1" customWidth="1"/>
    <col min="327" max="327" width="13.85546875" bestFit="1" customWidth="1"/>
    <col min="328" max="328" width="15.85546875" bestFit="1" customWidth="1"/>
    <col min="329" max="330" width="12.7109375" bestFit="1" customWidth="1"/>
    <col min="331" max="331" width="15.85546875" bestFit="1" customWidth="1"/>
    <col min="332" max="333" width="12.7109375" bestFit="1" customWidth="1"/>
    <col min="334" max="334" width="15.85546875" bestFit="1" customWidth="1"/>
    <col min="335" max="336" width="12.7109375" bestFit="1" customWidth="1"/>
    <col min="337" max="337" width="15.85546875" bestFit="1" customWidth="1"/>
    <col min="338" max="339" width="12.7109375" bestFit="1" customWidth="1"/>
    <col min="340" max="340" width="15.85546875" bestFit="1" customWidth="1"/>
    <col min="341" max="341" width="12.7109375" bestFit="1" customWidth="1"/>
    <col min="342" max="342" width="15.85546875" bestFit="1" customWidth="1"/>
    <col min="343" max="343" width="12.7109375" bestFit="1" customWidth="1"/>
    <col min="344" max="344" width="15.85546875" bestFit="1" customWidth="1"/>
    <col min="345" max="345" width="15.140625" bestFit="1" customWidth="1"/>
    <col min="346" max="346" width="15.85546875" bestFit="1" customWidth="1"/>
    <col min="347" max="349" width="13.85546875" bestFit="1" customWidth="1"/>
    <col min="350" max="350" width="15.85546875" bestFit="1" customWidth="1"/>
    <col min="351" max="351" width="12.7109375" bestFit="1" customWidth="1"/>
    <col min="352" max="352" width="15.85546875" bestFit="1" customWidth="1"/>
    <col min="353" max="355" width="13.85546875" bestFit="1" customWidth="1"/>
    <col min="356" max="356" width="15.85546875" bestFit="1" customWidth="1"/>
    <col min="357" max="358" width="13.85546875" bestFit="1" customWidth="1"/>
    <col min="359" max="359" width="15.85546875" bestFit="1" customWidth="1"/>
    <col min="360" max="361" width="13.85546875" bestFit="1" customWidth="1"/>
    <col min="362" max="362" width="15.85546875" bestFit="1" customWidth="1"/>
    <col min="363" max="363" width="13.85546875" bestFit="1" customWidth="1"/>
    <col min="364" max="364" width="15.85546875" bestFit="1" customWidth="1"/>
    <col min="365" max="366" width="13.85546875" bestFit="1" customWidth="1"/>
    <col min="367" max="367" width="15.85546875" bestFit="1" customWidth="1"/>
    <col min="368" max="368" width="12.7109375" bestFit="1" customWidth="1"/>
    <col min="369" max="369" width="15.85546875" bestFit="1" customWidth="1"/>
    <col min="370" max="370" width="13.85546875" bestFit="1" customWidth="1"/>
    <col min="371" max="371" width="15.85546875" bestFit="1" customWidth="1"/>
    <col min="372" max="374" width="13.85546875" bestFit="1" customWidth="1"/>
    <col min="375" max="375" width="15.85546875" bestFit="1" customWidth="1"/>
    <col min="376" max="376" width="13.85546875" bestFit="1" customWidth="1"/>
    <col min="377" max="377" width="15.85546875" bestFit="1" customWidth="1"/>
    <col min="378" max="378" width="15.140625" bestFit="1" customWidth="1"/>
    <col min="379" max="379" width="15.85546875" bestFit="1" customWidth="1"/>
    <col min="380" max="380" width="13.85546875" bestFit="1" customWidth="1"/>
    <col min="381" max="381" width="15.85546875" bestFit="1" customWidth="1"/>
    <col min="382" max="382" width="12.7109375" bestFit="1" customWidth="1"/>
    <col min="383" max="383" width="15.85546875" bestFit="1" customWidth="1"/>
    <col min="384" max="385" width="13.85546875" bestFit="1" customWidth="1"/>
    <col min="386" max="386" width="15.85546875" bestFit="1" customWidth="1"/>
    <col min="387" max="388" width="13.85546875" bestFit="1" customWidth="1"/>
    <col min="389" max="389" width="15.85546875" bestFit="1" customWidth="1"/>
    <col min="390" max="391" width="13.85546875" bestFit="1" customWidth="1"/>
    <col min="392" max="392" width="15.85546875" bestFit="1" customWidth="1"/>
    <col min="393" max="396" width="13.85546875" bestFit="1" customWidth="1"/>
    <col min="397" max="397" width="15.85546875" bestFit="1" customWidth="1"/>
    <col min="398" max="398" width="12.7109375" bestFit="1" customWidth="1"/>
    <col min="399" max="399" width="15.85546875" bestFit="1" customWidth="1"/>
    <col min="400" max="401" width="15.140625" bestFit="1" customWidth="1"/>
    <col min="402" max="402" width="15.85546875" bestFit="1" customWidth="1"/>
    <col min="403" max="403" width="12.7109375" bestFit="1" customWidth="1"/>
    <col min="404" max="404" width="15.85546875" bestFit="1" customWidth="1"/>
    <col min="405" max="405" width="13.85546875" bestFit="1" customWidth="1"/>
    <col min="406" max="406" width="15.85546875" bestFit="1" customWidth="1"/>
    <col min="407" max="407" width="12.7109375" bestFit="1" customWidth="1"/>
    <col min="408" max="408" width="15.85546875" bestFit="1" customWidth="1"/>
    <col min="409" max="410" width="12.7109375" bestFit="1" customWidth="1"/>
    <col min="411" max="411" width="15.85546875" bestFit="1" customWidth="1"/>
    <col min="412" max="412" width="12.7109375" bestFit="1" customWidth="1"/>
    <col min="413" max="413" width="15.85546875" bestFit="1" customWidth="1"/>
    <col min="414" max="414" width="12.7109375" bestFit="1" customWidth="1"/>
    <col min="415" max="415" width="15.85546875" bestFit="1" customWidth="1"/>
    <col min="416" max="417" width="13.85546875" bestFit="1" customWidth="1"/>
    <col min="418" max="418" width="15.85546875" bestFit="1" customWidth="1"/>
    <col min="419" max="419" width="12.7109375" bestFit="1" customWidth="1"/>
    <col min="420" max="420" width="15.85546875" bestFit="1" customWidth="1"/>
    <col min="421" max="421" width="13.85546875" bestFit="1" customWidth="1"/>
    <col min="422" max="422" width="15.85546875" bestFit="1" customWidth="1"/>
    <col min="423" max="423" width="13.85546875" bestFit="1" customWidth="1"/>
    <col min="424" max="424" width="15.85546875" bestFit="1" customWidth="1"/>
    <col min="425" max="427" width="12.7109375" bestFit="1" customWidth="1"/>
    <col min="428" max="428" width="15.85546875" bestFit="1" customWidth="1"/>
    <col min="429" max="429" width="12.7109375" bestFit="1" customWidth="1"/>
    <col min="430" max="430" width="15.85546875" bestFit="1" customWidth="1"/>
    <col min="431" max="431" width="12.7109375" bestFit="1" customWidth="1"/>
    <col min="432" max="432" width="15.85546875" bestFit="1" customWidth="1"/>
    <col min="433" max="433" width="12.7109375" bestFit="1" customWidth="1"/>
    <col min="434" max="434" width="15.85546875" bestFit="1" customWidth="1"/>
    <col min="435" max="437" width="13.85546875" bestFit="1" customWidth="1"/>
    <col min="438" max="438" width="15.85546875" bestFit="1" customWidth="1"/>
    <col min="439" max="439" width="12.7109375" bestFit="1" customWidth="1"/>
    <col min="440" max="440" width="15.85546875" bestFit="1" customWidth="1"/>
    <col min="441" max="441" width="13.85546875" bestFit="1" customWidth="1"/>
    <col min="442" max="442" width="15.85546875" bestFit="1" customWidth="1"/>
    <col min="443" max="443" width="12.7109375" bestFit="1" customWidth="1"/>
    <col min="444" max="444" width="15.85546875" bestFit="1" customWidth="1"/>
    <col min="445" max="445" width="12.7109375" bestFit="1" customWidth="1"/>
    <col min="446" max="446" width="15.85546875" bestFit="1" customWidth="1"/>
    <col min="447" max="447" width="12.7109375" bestFit="1" customWidth="1"/>
    <col min="448" max="448" width="15.85546875" bestFit="1" customWidth="1"/>
    <col min="449" max="449" width="12.7109375" bestFit="1" customWidth="1"/>
    <col min="450" max="450" width="15.85546875" bestFit="1" customWidth="1"/>
    <col min="451" max="451" width="13.85546875" bestFit="1" customWidth="1"/>
    <col min="452" max="452" width="15.85546875" bestFit="1" customWidth="1"/>
    <col min="453" max="453" width="15.140625" bestFit="1" customWidth="1"/>
    <col min="454" max="454" width="15.85546875" bestFit="1" customWidth="1"/>
    <col min="455" max="455" width="12.7109375" bestFit="1" customWidth="1"/>
    <col min="456" max="456" width="15.85546875" bestFit="1" customWidth="1"/>
    <col min="457" max="457" width="13.85546875" bestFit="1" customWidth="1"/>
    <col min="458" max="458" width="15.85546875" bestFit="1" customWidth="1"/>
    <col min="459" max="460" width="13.85546875" bestFit="1" customWidth="1"/>
    <col min="461" max="461" width="15.85546875" bestFit="1" customWidth="1"/>
    <col min="462" max="462" width="12.7109375" bestFit="1" customWidth="1"/>
    <col min="463" max="463" width="15.85546875" bestFit="1" customWidth="1"/>
    <col min="464" max="464" width="13.85546875" bestFit="1" customWidth="1"/>
    <col min="465" max="465" width="15.85546875" bestFit="1" customWidth="1"/>
    <col min="466" max="467" width="13.85546875" bestFit="1" customWidth="1"/>
    <col min="468" max="468" width="15.85546875" bestFit="1" customWidth="1"/>
    <col min="469" max="471" width="13.85546875" bestFit="1" customWidth="1"/>
    <col min="472" max="472" width="15.85546875" bestFit="1" customWidth="1"/>
    <col min="473" max="473" width="12.7109375" bestFit="1" customWidth="1"/>
    <col min="474" max="474" width="15.85546875" bestFit="1" customWidth="1"/>
    <col min="475" max="475" width="12.7109375" bestFit="1" customWidth="1"/>
    <col min="476" max="476" width="15.85546875" bestFit="1" customWidth="1"/>
    <col min="477" max="477" width="12.7109375" bestFit="1" customWidth="1"/>
    <col min="478" max="478" width="15.85546875" bestFit="1" customWidth="1"/>
    <col min="479" max="480" width="12.7109375" bestFit="1" customWidth="1"/>
    <col min="481" max="481" width="15.85546875" bestFit="1" customWidth="1"/>
    <col min="482" max="482" width="12.7109375" bestFit="1" customWidth="1"/>
    <col min="483" max="483" width="15.85546875" bestFit="1" customWidth="1"/>
    <col min="484" max="484" width="13.85546875" bestFit="1" customWidth="1"/>
    <col min="485" max="485" width="15.85546875" bestFit="1" customWidth="1"/>
    <col min="486" max="486" width="12.7109375" bestFit="1" customWidth="1"/>
    <col min="487" max="487" width="15.85546875" bestFit="1" customWidth="1"/>
    <col min="488" max="489" width="12.7109375" bestFit="1" customWidth="1"/>
    <col min="490" max="490" width="15.85546875" bestFit="1" customWidth="1"/>
    <col min="491" max="491" width="13.85546875" bestFit="1" customWidth="1"/>
    <col min="492" max="492" width="15.85546875" bestFit="1" customWidth="1"/>
    <col min="493" max="494" width="12.7109375" bestFit="1" customWidth="1"/>
    <col min="495" max="495" width="15.85546875" bestFit="1" customWidth="1"/>
    <col min="496" max="497" width="12.7109375" bestFit="1" customWidth="1"/>
    <col min="498" max="498" width="15.85546875" bestFit="1" customWidth="1"/>
    <col min="499" max="502" width="12.7109375" bestFit="1" customWidth="1"/>
    <col min="503" max="503" width="15.85546875" bestFit="1" customWidth="1"/>
    <col min="504" max="504" width="12.7109375" bestFit="1" customWidth="1"/>
    <col min="505" max="505" width="15.85546875" bestFit="1" customWidth="1"/>
    <col min="506" max="506" width="12.7109375" bestFit="1" customWidth="1"/>
    <col min="507" max="507" width="15.85546875" bestFit="1" customWidth="1"/>
    <col min="508" max="509" width="15.140625" bestFit="1" customWidth="1"/>
    <col min="510" max="510" width="15.85546875" bestFit="1" customWidth="1"/>
    <col min="511" max="512" width="15.140625" bestFit="1" customWidth="1"/>
    <col min="513" max="513" width="15.85546875" bestFit="1" customWidth="1"/>
    <col min="514" max="515" width="13.85546875" bestFit="1" customWidth="1"/>
    <col min="516" max="516" width="15.85546875" bestFit="1" customWidth="1"/>
    <col min="517" max="519" width="13.85546875" bestFit="1" customWidth="1"/>
    <col min="520" max="520" width="15.85546875" bestFit="1" customWidth="1"/>
    <col min="521" max="521" width="12.7109375" bestFit="1" customWidth="1"/>
    <col min="522" max="522" width="15.85546875" bestFit="1" customWidth="1"/>
    <col min="523" max="524" width="13.85546875" bestFit="1" customWidth="1"/>
    <col min="525" max="525" width="15.85546875" bestFit="1" customWidth="1"/>
    <col min="526" max="526" width="12.7109375" bestFit="1" customWidth="1"/>
    <col min="527" max="527" width="15.85546875" bestFit="1" customWidth="1"/>
    <col min="528" max="528" width="13.85546875" bestFit="1" customWidth="1"/>
    <col min="529" max="529" width="15.85546875" bestFit="1" customWidth="1"/>
    <col min="530" max="530" width="12.7109375" bestFit="1" customWidth="1"/>
    <col min="531" max="531" width="15.85546875" bestFit="1" customWidth="1"/>
    <col min="532" max="532" width="13.85546875" bestFit="1" customWidth="1"/>
    <col min="533" max="533" width="15.85546875" bestFit="1" customWidth="1"/>
    <col min="534" max="534" width="11.28515625" bestFit="1" customWidth="1"/>
  </cols>
  <sheetData>
    <row r="1" spans="1:10" x14ac:dyDescent="0.25">
      <c r="A1" s="23" t="s">
        <v>428</v>
      </c>
      <c r="B1" s="23"/>
      <c r="C1" s="23"/>
      <c r="D1" s="23"/>
      <c r="E1" s="23"/>
      <c r="F1" s="23"/>
      <c r="G1" s="23"/>
      <c r="H1" s="23"/>
      <c r="I1" s="23"/>
      <c r="J1" s="23"/>
    </row>
    <row r="4" spans="1:10" x14ac:dyDescent="0.25">
      <c r="A4" s="24" t="s">
        <v>429</v>
      </c>
      <c r="B4" s="24"/>
      <c r="C4" s="24"/>
      <c r="E4" s="27" t="s">
        <v>432</v>
      </c>
      <c r="F4" s="27"/>
      <c r="G4" s="27"/>
      <c r="I4" s="28" t="s">
        <v>433</v>
      </c>
      <c r="J4" s="28"/>
    </row>
    <row r="5" spans="1:10" x14ac:dyDescent="0.25">
      <c r="A5" s="17" t="s">
        <v>409</v>
      </c>
      <c r="B5" t="s">
        <v>411</v>
      </c>
      <c r="C5" t="s">
        <v>412</v>
      </c>
      <c r="E5" s="17" t="s">
        <v>409</v>
      </c>
      <c r="F5" s="4" t="s">
        <v>411</v>
      </c>
      <c r="G5" t="s">
        <v>413</v>
      </c>
      <c r="I5" s="17" t="s">
        <v>409</v>
      </c>
      <c r="J5" t="s">
        <v>411</v>
      </c>
    </row>
    <row r="6" spans="1:10" x14ac:dyDescent="0.25">
      <c r="A6" s="18" t="s">
        <v>34</v>
      </c>
      <c r="B6" s="4">
        <v>64008900</v>
      </c>
      <c r="C6" s="4">
        <v>14881010</v>
      </c>
      <c r="E6" s="18" t="s">
        <v>172</v>
      </c>
      <c r="F6" s="4">
        <v>187600</v>
      </c>
      <c r="G6" s="19">
        <v>1</v>
      </c>
      <c r="I6" s="18" t="s">
        <v>415</v>
      </c>
      <c r="J6" s="19"/>
    </row>
    <row r="7" spans="1:10" x14ac:dyDescent="0.25">
      <c r="A7" s="18" t="s">
        <v>21</v>
      </c>
      <c r="B7" s="4">
        <v>21415210</v>
      </c>
      <c r="C7" s="4">
        <v>3570025</v>
      </c>
      <c r="E7" s="18" t="s">
        <v>272</v>
      </c>
      <c r="F7" s="4">
        <v>14400</v>
      </c>
      <c r="G7" s="19">
        <v>1</v>
      </c>
      <c r="I7" s="20" t="s">
        <v>416</v>
      </c>
      <c r="J7" s="4">
        <v>7265500</v>
      </c>
    </row>
    <row r="8" spans="1:10" x14ac:dyDescent="0.25">
      <c r="A8" s="18" t="s">
        <v>46</v>
      </c>
      <c r="B8" s="4">
        <v>16864380</v>
      </c>
      <c r="C8" s="4">
        <v>4298945</v>
      </c>
      <c r="E8" s="18" t="s">
        <v>57</v>
      </c>
      <c r="F8" s="4">
        <v>1409800</v>
      </c>
      <c r="G8" s="19">
        <v>23</v>
      </c>
      <c r="I8" s="20" t="s">
        <v>417</v>
      </c>
      <c r="J8" s="4">
        <v>7116700</v>
      </c>
    </row>
    <row r="9" spans="1:10" x14ac:dyDescent="0.25">
      <c r="A9" s="18" t="s">
        <v>410</v>
      </c>
      <c r="B9" s="4">
        <v>102288490</v>
      </c>
      <c r="C9" s="4">
        <v>22749980</v>
      </c>
      <c r="E9" s="18" t="s">
        <v>69</v>
      </c>
      <c r="F9" s="4">
        <v>997000</v>
      </c>
      <c r="G9" s="19">
        <v>17</v>
      </c>
      <c r="I9" s="20" t="s">
        <v>418</v>
      </c>
      <c r="J9" s="4">
        <v>8727460</v>
      </c>
    </row>
    <row r="10" spans="1:10" x14ac:dyDescent="0.25">
      <c r="E10" s="18" t="s">
        <v>123</v>
      </c>
      <c r="F10" s="4">
        <v>4959500</v>
      </c>
      <c r="G10" s="19">
        <v>16</v>
      </c>
      <c r="I10" s="20" t="s">
        <v>419</v>
      </c>
      <c r="J10" s="4">
        <v>7232340</v>
      </c>
    </row>
    <row r="11" spans="1:10" x14ac:dyDescent="0.25">
      <c r="E11" s="18" t="s">
        <v>42</v>
      </c>
      <c r="F11" s="4">
        <v>4130000</v>
      </c>
      <c r="G11" s="19">
        <v>11</v>
      </c>
      <c r="I11" s="20" t="s">
        <v>420</v>
      </c>
      <c r="J11" s="4">
        <v>8705140</v>
      </c>
    </row>
    <row r="12" spans="1:10" x14ac:dyDescent="0.25">
      <c r="A12" s="25" t="s">
        <v>430</v>
      </c>
      <c r="B12" s="25"/>
      <c r="C12" s="25"/>
      <c r="E12" s="18" t="s">
        <v>76</v>
      </c>
      <c r="F12" s="4">
        <v>1372500</v>
      </c>
      <c r="G12" s="19">
        <v>18</v>
      </c>
      <c r="I12" s="20" t="s">
        <v>421</v>
      </c>
      <c r="J12" s="4">
        <v>10103970</v>
      </c>
    </row>
    <row r="13" spans="1:10" x14ac:dyDescent="0.25">
      <c r="A13" s="17" t="s">
        <v>409</v>
      </c>
      <c r="B13" t="s">
        <v>411</v>
      </c>
      <c r="C13" t="s">
        <v>412</v>
      </c>
      <c r="E13" s="18" t="s">
        <v>61</v>
      </c>
      <c r="F13" s="4">
        <v>1348800</v>
      </c>
      <c r="G13" s="19">
        <v>16</v>
      </c>
      <c r="I13" s="20" t="s">
        <v>422</v>
      </c>
      <c r="J13" s="4">
        <v>10052510</v>
      </c>
    </row>
    <row r="14" spans="1:10" x14ac:dyDescent="0.25">
      <c r="A14" s="18" t="s">
        <v>20</v>
      </c>
      <c r="B14" s="4">
        <v>21415210</v>
      </c>
      <c r="C14" s="4">
        <v>3570025</v>
      </c>
      <c r="E14" s="18" t="s">
        <v>104</v>
      </c>
      <c r="F14" s="4">
        <v>58292000</v>
      </c>
      <c r="G14" s="19">
        <v>21</v>
      </c>
      <c r="I14" s="20" t="s">
        <v>423</v>
      </c>
      <c r="J14" s="4">
        <v>6904540</v>
      </c>
    </row>
    <row r="15" spans="1:10" x14ac:dyDescent="0.25">
      <c r="A15" s="18" t="s">
        <v>71</v>
      </c>
      <c r="B15" s="4">
        <v>42681300</v>
      </c>
      <c r="C15" s="4">
        <v>9645490</v>
      </c>
      <c r="E15" s="18" t="s">
        <v>38</v>
      </c>
      <c r="F15" s="4">
        <v>5654000</v>
      </c>
      <c r="G15" s="19">
        <v>14</v>
      </c>
      <c r="I15" s="20" t="s">
        <v>424</v>
      </c>
      <c r="J15" s="4">
        <v>5444580</v>
      </c>
    </row>
    <row r="16" spans="1:10" x14ac:dyDescent="0.25">
      <c r="A16" s="18" t="s">
        <v>45</v>
      </c>
      <c r="B16" s="4">
        <v>16864380</v>
      </c>
      <c r="C16" s="4">
        <v>4298945</v>
      </c>
      <c r="E16" s="18" t="s">
        <v>17</v>
      </c>
      <c r="F16" s="4">
        <v>28000</v>
      </c>
      <c r="G16" s="19">
        <v>7</v>
      </c>
      <c r="I16" s="20" t="s">
        <v>425</v>
      </c>
      <c r="J16" s="4">
        <v>8251070</v>
      </c>
    </row>
    <row r="17" spans="1:10" x14ac:dyDescent="0.25">
      <c r="A17" s="18" t="s">
        <v>33</v>
      </c>
      <c r="B17" s="4">
        <v>21327600</v>
      </c>
      <c r="C17" s="4">
        <v>5235520</v>
      </c>
      <c r="E17" s="18" t="s">
        <v>107</v>
      </c>
      <c r="F17" s="4">
        <v>2362500</v>
      </c>
      <c r="G17" s="19">
        <v>9</v>
      </c>
      <c r="I17" s="20" t="s">
        <v>426</v>
      </c>
      <c r="J17" s="4">
        <v>4637160</v>
      </c>
    </row>
    <row r="18" spans="1:10" x14ac:dyDescent="0.25">
      <c r="A18" s="18" t="s">
        <v>410</v>
      </c>
      <c r="B18" s="4">
        <v>102288490</v>
      </c>
      <c r="C18" s="4">
        <v>22749980</v>
      </c>
      <c r="E18" s="18" t="s">
        <v>195</v>
      </c>
      <c r="F18" s="4">
        <v>6593000</v>
      </c>
      <c r="G18" s="19">
        <v>15</v>
      </c>
      <c r="I18" s="20" t="s">
        <v>427</v>
      </c>
      <c r="J18" s="4">
        <v>17847520</v>
      </c>
    </row>
    <row r="19" spans="1:10" x14ac:dyDescent="0.25">
      <c r="E19" s="18" t="s">
        <v>186</v>
      </c>
      <c r="F19" s="4">
        <v>36840</v>
      </c>
      <c r="G19" s="19">
        <v>8</v>
      </c>
      <c r="I19" s="18" t="s">
        <v>410</v>
      </c>
      <c r="J19" s="4">
        <v>102288490</v>
      </c>
    </row>
    <row r="20" spans="1:10" x14ac:dyDescent="0.25">
      <c r="E20" s="18" t="s">
        <v>25</v>
      </c>
      <c r="F20" s="4">
        <v>1425200</v>
      </c>
      <c r="G20" s="19">
        <v>20</v>
      </c>
    </row>
    <row r="21" spans="1:10" x14ac:dyDescent="0.25">
      <c r="A21" s="26" t="s">
        <v>431</v>
      </c>
      <c r="B21" s="26"/>
      <c r="E21" s="18" t="s">
        <v>84</v>
      </c>
      <c r="F21" s="4">
        <v>7837500</v>
      </c>
      <c r="G21" s="19">
        <v>17</v>
      </c>
    </row>
    <row r="22" spans="1:10" x14ac:dyDescent="0.25">
      <c r="A22" s="17" t="s">
        <v>409</v>
      </c>
      <c r="B22" t="s">
        <v>413</v>
      </c>
      <c r="E22" s="18" t="s">
        <v>89</v>
      </c>
      <c r="F22" s="4">
        <v>2077500</v>
      </c>
      <c r="G22" s="19">
        <v>18</v>
      </c>
    </row>
    <row r="23" spans="1:10" x14ac:dyDescent="0.25">
      <c r="A23" s="18" t="s">
        <v>72</v>
      </c>
      <c r="B23" s="19">
        <v>23</v>
      </c>
      <c r="E23" s="18" t="s">
        <v>216</v>
      </c>
      <c r="F23" s="4">
        <v>173600</v>
      </c>
      <c r="G23" s="19">
        <v>14</v>
      </c>
    </row>
    <row r="24" spans="1:10" x14ac:dyDescent="0.25">
      <c r="A24" s="18" t="s">
        <v>22</v>
      </c>
      <c r="B24" s="19">
        <v>192</v>
      </c>
      <c r="E24" s="18" t="s">
        <v>49</v>
      </c>
      <c r="F24" s="4">
        <v>215750</v>
      </c>
      <c r="G24" s="19">
        <v>13</v>
      </c>
    </row>
    <row r="25" spans="1:10" x14ac:dyDescent="0.25">
      <c r="A25" s="18" t="s">
        <v>101</v>
      </c>
      <c r="B25" s="19">
        <v>3</v>
      </c>
      <c r="E25" s="18" t="s">
        <v>64</v>
      </c>
      <c r="F25" s="4">
        <v>1282400</v>
      </c>
      <c r="G25" s="19">
        <v>10</v>
      </c>
    </row>
    <row r="26" spans="1:10" x14ac:dyDescent="0.25">
      <c r="A26" s="18" t="s">
        <v>51</v>
      </c>
      <c r="B26" s="19">
        <v>57</v>
      </c>
      <c r="E26" s="18" t="s">
        <v>54</v>
      </c>
      <c r="F26" s="4">
        <v>1332000</v>
      </c>
      <c r="G26" s="19">
        <v>14</v>
      </c>
    </row>
    <row r="27" spans="1:10" x14ac:dyDescent="0.25">
      <c r="A27" s="18" t="s">
        <v>93</v>
      </c>
      <c r="B27" s="19">
        <v>22</v>
      </c>
      <c r="E27" s="18" t="s">
        <v>30</v>
      </c>
      <c r="F27" s="4">
        <v>558600</v>
      </c>
      <c r="G27" s="19">
        <v>14</v>
      </c>
    </row>
    <row r="28" spans="1:10" x14ac:dyDescent="0.25">
      <c r="A28" s="18" t="s">
        <v>410</v>
      </c>
      <c r="B28" s="19">
        <v>297</v>
      </c>
      <c r="E28" s="18" t="s">
        <v>410</v>
      </c>
      <c r="F28" s="4">
        <v>102288490</v>
      </c>
      <c r="G28" s="19">
        <v>297</v>
      </c>
    </row>
  </sheetData>
  <mergeCells count="6">
    <mergeCell ref="A1:J1"/>
    <mergeCell ref="A4:C4"/>
    <mergeCell ref="A12:C12"/>
    <mergeCell ref="A21:B21"/>
    <mergeCell ref="E4:G4"/>
    <mergeCell ref="I4:J4"/>
  </mergeCell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view="pageBreakPreview" topLeftCell="A4" zoomScale="30" zoomScaleNormal="50" zoomScaleSheetLayoutView="30" workbookViewId="0">
      <selection activeCell="BX36" sqref="BX3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68"/>
  <sheetViews>
    <sheetView zoomScale="80" zoomScaleNormal="80" workbookViewId="0">
      <pane ySplit="1" topLeftCell="A2" activePane="bottomLeft" state="frozen"/>
      <selection pane="bottomLeft" activeCell="V12" sqref="V12"/>
    </sheetView>
  </sheetViews>
  <sheetFormatPr defaultRowHeight="15" x14ac:dyDescent="0.25"/>
  <cols>
    <col min="1" max="1" width="13" bestFit="1" customWidth="1"/>
    <col min="2" max="2" width="10.140625" bestFit="1" customWidth="1"/>
    <col min="3" max="3" width="16.28515625" bestFit="1" customWidth="1"/>
    <col min="4" max="4" width="13.42578125" bestFit="1" customWidth="1"/>
    <col min="5" max="5" width="15.5703125" bestFit="1" customWidth="1"/>
    <col min="6" max="6" width="11.28515625" bestFit="1" customWidth="1"/>
    <col min="7" max="7" width="7.140625" bestFit="1" customWidth="1"/>
    <col min="8" max="8" width="15.7109375" customWidth="1"/>
    <col min="9" max="9" width="16.7109375" bestFit="1" customWidth="1"/>
    <col min="10" max="10" width="13.140625" bestFit="1" customWidth="1"/>
    <col min="11" max="11" width="13.7109375" bestFit="1" customWidth="1"/>
    <col min="12" max="12" width="9.7109375" bestFit="1" customWidth="1"/>
    <col min="13" max="13" width="12.85546875" bestFit="1" customWidth="1"/>
    <col min="14" max="14" width="13.42578125" bestFit="1" customWidth="1"/>
    <col min="15" max="15" width="16.140625" bestFit="1" customWidth="1"/>
    <col min="16" max="16" width="12" bestFit="1" customWidth="1"/>
    <col min="17" max="17" width="18" bestFit="1" customWidth="1"/>
    <col min="18" max="18" width="18" customWidth="1"/>
    <col min="19" max="19" width="21.5703125" customWidth="1"/>
  </cols>
  <sheetData>
    <row r="1" spans="1:19" x14ac:dyDescent="0.25">
      <c r="A1" s="1" t="s">
        <v>0</v>
      </c>
      <c r="B1" s="1" t="s">
        <v>1</v>
      </c>
      <c r="C1" s="1" t="s">
        <v>2</v>
      </c>
      <c r="D1" s="1" t="s">
        <v>3</v>
      </c>
      <c r="E1" s="1" t="s">
        <v>4</v>
      </c>
      <c r="F1" s="1" t="s">
        <v>5</v>
      </c>
      <c r="G1" s="1" t="s">
        <v>6</v>
      </c>
      <c r="H1" s="2" t="s">
        <v>414</v>
      </c>
      <c r="I1" s="1" t="s">
        <v>7</v>
      </c>
      <c r="J1" s="1" t="s">
        <v>8</v>
      </c>
      <c r="K1" s="1" t="s">
        <v>9</v>
      </c>
      <c r="L1" s="1" t="s">
        <v>10</v>
      </c>
      <c r="M1" s="1" t="s">
        <v>11</v>
      </c>
      <c r="N1" s="1" t="s">
        <v>12</v>
      </c>
      <c r="O1" s="1" t="s">
        <v>13</v>
      </c>
      <c r="P1" s="1" t="s">
        <v>14</v>
      </c>
      <c r="Q1" s="15" t="s">
        <v>407</v>
      </c>
      <c r="R1" s="16" t="s">
        <v>408</v>
      </c>
    </row>
    <row r="2" spans="1:19" x14ac:dyDescent="0.25">
      <c r="A2" t="s">
        <v>15</v>
      </c>
      <c r="B2" t="s">
        <v>16</v>
      </c>
      <c r="C2" t="s">
        <v>17</v>
      </c>
      <c r="D2" t="s">
        <v>18</v>
      </c>
      <c r="E2" t="s">
        <v>19</v>
      </c>
      <c r="F2" t="s">
        <v>20</v>
      </c>
      <c r="G2" t="s">
        <v>21</v>
      </c>
      <c r="H2" s="22">
        <v>45860</v>
      </c>
      <c r="I2">
        <v>171</v>
      </c>
      <c r="J2">
        <v>12</v>
      </c>
      <c r="K2">
        <v>45</v>
      </c>
      <c r="L2">
        <v>80</v>
      </c>
      <c r="M2">
        <v>40</v>
      </c>
      <c r="N2">
        <v>72</v>
      </c>
      <c r="O2">
        <v>19</v>
      </c>
      <c r="P2" t="s">
        <v>22</v>
      </c>
      <c r="Q2" s="4">
        <f>J2*L2</f>
        <v>960</v>
      </c>
      <c r="R2" s="4">
        <f>(L2-K2)*J2</f>
        <v>420</v>
      </c>
      <c r="S2" s="7" t="s">
        <v>402</v>
      </c>
    </row>
    <row r="3" spans="1:19" x14ac:dyDescent="0.25">
      <c r="A3" t="s">
        <v>23</v>
      </c>
      <c r="B3" t="s">
        <v>24</v>
      </c>
      <c r="C3" t="s">
        <v>25</v>
      </c>
      <c r="D3" t="s">
        <v>26</v>
      </c>
      <c r="E3" t="s">
        <v>27</v>
      </c>
      <c r="F3" t="s">
        <v>20</v>
      </c>
      <c r="G3" t="s">
        <v>21</v>
      </c>
      <c r="H3" s="22">
        <v>45677</v>
      </c>
      <c r="I3">
        <v>27</v>
      </c>
      <c r="J3">
        <v>13</v>
      </c>
      <c r="K3">
        <v>900</v>
      </c>
      <c r="L3">
        <v>1400</v>
      </c>
      <c r="M3">
        <v>217</v>
      </c>
      <c r="N3">
        <v>24</v>
      </c>
      <c r="O3">
        <v>9</v>
      </c>
      <c r="P3" t="s">
        <v>22</v>
      </c>
      <c r="Q3" s="4">
        <f t="shared" ref="Q3:Q66" si="0">J3*L3</f>
        <v>18200</v>
      </c>
      <c r="R3" s="4">
        <f t="shared" ref="R3:R66" si="1">(L3-K3)*J3</f>
        <v>6500</v>
      </c>
      <c r="S3" s="8">
        <f>SUMPRODUCT(J2:J301,L2:L301)</f>
        <v>102288490</v>
      </c>
    </row>
    <row r="4" spans="1:19" x14ac:dyDescent="0.25">
      <c r="A4" t="s">
        <v>28</v>
      </c>
      <c r="B4" t="s">
        <v>29</v>
      </c>
      <c r="C4" t="s">
        <v>30</v>
      </c>
      <c r="D4" t="s">
        <v>31</v>
      </c>
      <c r="E4" t="s">
        <v>32</v>
      </c>
      <c r="F4" t="s">
        <v>33</v>
      </c>
      <c r="G4" t="s">
        <v>34</v>
      </c>
      <c r="H4" s="22">
        <v>45772</v>
      </c>
      <c r="I4">
        <v>166</v>
      </c>
      <c r="J4">
        <v>160</v>
      </c>
      <c r="K4">
        <v>450</v>
      </c>
      <c r="L4">
        <v>700</v>
      </c>
      <c r="M4">
        <v>34</v>
      </c>
      <c r="N4">
        <v>56</v>
      </c>
      <c r="O4">
        <v>20</v>
      </c>
      <c r="P4" t="s">
        <v>22</v>
      </c>
      <c r="Q4" s="4">
        <f t="shared" si="0"/>
        <v>112000</v>
      </c>
      <c r="R4" s="4">
        <f t="shared" si="1"/>
        <v>40000</v>
      </c>
    </row>
    <row r="5" spans="1:19" x14ac:dyDescent="0.25">
      <c r="A5" t="s">
        <v>35</v>
      </c>
      <c r="B5" t="s">
        <v>29</v>
      </c>
      <c r="C5" t="s">
        <v>30</v>
      </c>
      <c r="D5" t="s">
        <v>31</v>
      </c>
      <c r="E5" t="s">
        <v>32</v>
      </c>
      <c r="F5" t="s">
        <v>20</v>
      </c>
      <c r="G5" t="s">
        <v>21</v>
      </c>
      <c r="H5" s="22">
        <v>45806</v>
      </c>
      <c r="I5">
        <v>112</v>
      </c>
      <c r="J5">
        <v>18</v>
      </c>
      <c r="K5">
        <v>450</v>
      </c>
      <c r="L5">
        <v>700</v>
      </c>
      <c r="M5">
        <v>279</v>
      </c>
      <c r="N5">
        <v>27</v>
      </c>
      <c r="O5">
        <v>20</v>
      </c>
      <c r="P5" t="s">
        <v>22</v>
      </c>
      <c r="Q5" s="4">
        <f t="shared" si="0"/>
        <v>12600</v>
      </c>
      <c r="R5" s="4">
        <f t="shared" si="1"/>
        <v>4500</v>
      </c>
    </row>
    <row r="6" spans="1:19" x14ac:dyDescent="0.25">
      <c r="A6" t="s">
        <v>36</v>
      </c>
      <c r="B6" t="s">
        <v>37</v>
      </c>
      <c r="C6" t="s">
        <v>38</v>
      </c>
      <c r="D6" t="s">
        <v>31</v>
      </c>
      <c r="E6" t="s">
        <v>39</v>
      </c>
      <c r="F6" t="s">
        <v>20</v>
      </c>
      <c r="G6" t="s">
        <v>21</v>
      </c>
      <c r="H6" s="22">
        <v>45848</v>
      </c>
      <c r="I6">
        <v>29</v>
      </c>
      <c r="J6">
        <v>17</v>
      </c>
      <c r="K6">
        <v>8500</v>
      </c>
      <c r="L6">
        <v>11000</v>
      </c>
      <c r="M6">
        <v>35</v>
      </c>
      <c r="N6">
        <v>56</v>
      </c>
      <c r="O6">
        <v>3</v>
      </c>
      <c r="P6" t="s">
        <v>22</v>
      </c>
      <c r="Q6" s="4">
        <f t="shared" si="0"/>
        <v>187000</v>
      </c>
      <c r="R6" s="4">
        <f t="shared" si="1"/>
        <v>42500</v>
      </c>
      <c r="S6" s="9" t="s">
        <v>403</v>
      </c>
    </row>
    <row r="7" spans="1:19" x14ac:dyDescent="0.25">
      <c r="A7" t="s">
        <v>40</v>
      </c>
      <c r="B7" t="s">
        <v>41</v>
      </c>
      <c r="C7" t="s">
        <v>42</v>
      </c>
      <c r="D7" t="s">
        <v>43</v>
      </c>
      <c r="E7" t="s">
        <v>44</v>
      </c>
      <c r="F7" t="s">
        <v>45</v>
      </c>
      <c r="G7" t="s">
        <v>46</v>
      </c>
      <c r="H7" s="22">
        <v>45936</v>
      </c>
      <c r="I7">
        <v>124</v>
      </c>
      <c r="J7">
        <v>74</v>
      </c>
      <c r="K7">
        <v>5000</v>
      </c>
      <c r="L7">
        <v>7000</v>
      </c>
      <c r="M7">
        <v>235</v>
      </c>
      <c r="N7">
        <v>43</v>
      </c>
      <c r="O7">
        <v>11</v>
      </c>
      <c r="P7" t="s">
        <v>22</v>
      </c>
      <c r="Q7" s="4">
        <f t="shared" si="0"/>
        <v>518000</v>
      </c>
      <c r="R7" s="4">
        <f t="shared" si="1"/>
        <v>148000</v>
      </c>
      <c r="S7" s="10">
        <f>SUMPRODUCT((L2:L301-K2:K301),J2:J301)</f>
        <v>22749980</v>
      </c>
    </row>
    <row r="8" spans="1:19" x14ac:dyDescent="0.25">
      <c r="A8" t="s">
        <v>47</v>
      </c>
      <c r="B8" t="s">
        <v>48</v>
      </c>
      <c r="C8" t="s">
        <v>49</v>
      </c>
      <c r="D8" t="s">
        <v>26</v>
      </c>
      <c r="E8" t="s">
        <v>50</v>
      </c>
      <c r="F8" t="s">
        <v>33</v>
      </c>
      <c r="G8" t="s">
        <v>34</v>
      </c>
      <c r="H8" s="22">
        <v>45952</v>
      </c>
      <c r="I8">
        <v>81</v>
      </c>
      <c r="J8">
        <v>67</v>
      </c>
      <c r="K8">
        <v>120</v>
      </c>
      <c r="L8">
        <v>250</v>
      </c>
      <c r="M8">
        <v>256</v>
      </c>
      <c r="N8">
        <v>76</v>
      </c>
      <c r="O8">
        <v>12</v>
      </c>
      <c r="P8" t="s">
        <v>51</v>
      </c>
      <c r="Q8" s="4">
        <f t="shared" si="0"/>
        <v>16750</v>
      </c>
      <c r="R8" s="4">
        <f t="shared" si="1"/>
        <v>8710</v>
      </c>
    </row>
    <row r="9" spans="1:19" x14ac:dyDescent="0.25">
      <c r="A9" t="s">
        <v>52</v>
      </c>
      <c r="B9" t="s">
        <v>53</v>
      </c>
      <c r="C9" t="s">
        <v>54</v>
      </c>
      <c r="D9" t="s">
        <v>18</v>
      </c>
      <c r="E9" t="s">
        <v>44</v>
      </c>
      <c r="F9" t="s">
        <v>33</v>
      </c>
      <c r="G9" t="s">
        <v>34</v>
      </c>
      <c r="H9" s="22">
        <v>45718</v>
      </c>
      <c r="I9">
        <v>136</v>
      </c>
      <c r="J9">
        <v>107</v>
      </c>
      <c r="K9">
        <v>1200</v>
      </c>
      <c r="L9">
        <v>1800</v>
      </c>
      <c r="M9">
        <v>87</v>
      </c>
      <c r="N9">
        <v>68</v>
      </c>
      <c r="O9">
        <v>12</v>
      </c>
      <c r="P9" t="s">
        <v>22</v>
      </c>
      <c r="Q9" s="4">
        <f t="shared" si="0"/>
        <v>192600</v>
      </c>
      <c r="R9" s="4">
        <f t="shared" si="1"/>
        <v>64200</v>
      </c>
    </row>
    <row r="10" spans="1:19" x14ac:dyDescent="0.25">
      <c r="A10" t="s">
        <v>55</v>
      </c>
      <c r="B10" t="s">
        <v>56</v>
      </c>
      <c r="C10" t="s">
        <v>57</v>
      </c>
      <c r="D10" t="s">
        <v>26</v>
      </c>
      <c r="E10" t="s">
        <v>58</v>
      </c>
      <c r="F10" t="s">
        <v>33</v>
      </c>
      <c r="G10" t="s">
        <v>34</v>
      </c>
      <c r="H10" s="22">
        <v>46000</v>
      </c>
      <c r="I10">
        <v>24</v>
      </c>
      <c r="J10">
        <v>24</v>
      </c>
      <c r="K10">
        <v>900</v>
      </c>
      <c r="L10">
        <v>1400</v>
      </c>
      <c r="M10">
        <v>163</v>
      </c>
      <c r="N10">
        <v>41</v>
      </c>
      <c r="O10">
        <v>13</v>
      </c>
      <c r="P10" t="s">
        <v>22</v>
      </c>
      <c r="Q10" s="4">
        <f t="shared" si="0"/>
        <v>33600</v>
      </c>
      <c r="R10" s="4">
        <f t="shared" si="1"/>
        <v>12000</v>
      </c>
      <c r="S10" s="5" t="s">
        <v>404</v>
      </c>
    </row>
    <row r="11" spans="1:19" x14ac:dyDescent="0.25">
      <c r="A11" t="s">
        <v>59</v>
      </c>
      <c r="B11" t="s">
        <v>60</v>
      </c>
      <c r="C11" t="s">
        <v>61</v>
      </c>
      <c r="D11" t="s">
        <v>31</v>
      </c>
      <c r="E11" t="s">
        <v>32</v>
      </c>
      <c r="F11" t="s">
        <v>33</v>
      </c>
      <c r="G11" t="s">
        <v>34</v>
      </c>
      <c r="H11" s="22">
        <v>45796</v>
      </c>
      <c r="I11">
        <v>126</v>
      </c>
      <c r="J11">
        <v>89</v>
      </c>
      <c r="K11">
        <v>800</v>
      </c>
      <c r="L11">
        <v>1200</v>
      </c>
      <c r="M11">
        <v>36</v>
      </c>
      <c r="N11">
        <v>23</v>
      </c>
      <c r="O11">
        <v>11</v>
      </c>
      <c r="P11" t="s">
        <v>22</v>
      </c>
      <c r="Q11" s="4">
        <f t="shared" si="0"/>
        <v>106800</v>
      </c>
      <c r="R11" s="4">
        <f t="shared" si="1"/>
        <v>35600</v>
      </c>
      <c r="S11" s="11">
        <f>SUM(J2:J301)</f>
        <v>14975</v>
      </c>
    </row>
    <row r="12" spans="1:19" x14ac:dyDescent="0.25">
      <c r="A12" t="s">
        <v>62</v>
      </c>
      <c r="B12" t="s">
        <v>63</v>
      </c>
      <c r="C12" t="s">
        <v>64</v>
      </c>
      <c r="D12" t="s">
        <v>31</v>
      </c>
      <c r="E12" t="s">
        <v>65</v>
      </c>
      <c r="F12" t="s">
        <v>45</v>
      </c>
      <c r="G12" t="s">
        <v>46</v>
      </c>
      <c r="H12" s="22">
        <v>46000</v>
      </c>
      <c r="I12">
        <v>93</v>
      </c>
      <c r="J12">
        <v>2</v>
      </c>
      <c r="K12">
        <v>1800</v>
      </c>
      <c r="L12">
        <v>2800</v>
      </c>
      <c r="M12">
        <v>239</v>
      </c>
      <c r="N12">
        <v>42</v>
      </c>
      <c r="O12">
        <v>7</v>
      </c>
      <c r="P12" t="s">
        <v>22</v>
      </c>
      <c r="Q12" s="4">
        <f t="shared" si="0"/>
        <v>5600</v>
      </c>
      <c r="R12" s="4">
        <f t="shared" si="1"/>
        <v>2000</v>
      </c>
    </row>
    <row r="13" spans="1:19" x14ac:dyDescent="0.25">
      <c r="A13" t="s">
        <v>66</v>
      </c>
      <c r="B13" t="s">
        <v>29</v>
      </c>
      <c r="C13" t="s">
        <v>30</v>
      </c>
      <c r="D13" t="s">
        <v>31</v>
      </c>
      <c r="E13" t="s">
        <v>32</v>
      </c>
      <c r="F13" t="s">
        <v>20</v>
      </c>
      <c r="G13" t="s">
        <v>21</v>
      </c>
      <c r="H13" s="22">
        <v>45805</v>
      </c>
      <c r="I13">
        <v>38</v>
      </c>
      <c r="J13">
        <v>15</v>
      </c>
      <c r="K13">
        <v>450</v>
      </c>
      <c r="L13">
        <v>700</v>
      </c>
      <c r="M13">
        <v>206</v>
      </c>
      <c r="N13">
        <v>45</v>
      </c>
      <c r="O13">
        <v>17</v>
      </c>
      <c r="P13" t="s">
        <v>22</v>
      </c>
      <c r="Q13" s="4">
        <f t="shared" si="0"/>
        <v>10500</v>
      </c>
      <c r="R13" s="4">
        <f t="shared" si="1"/>
        <v>3750</v>
      </c>
    </row>
    <row r="14" spans="1:19" x14ac:dyDescent="0.25">
      <c r="A14" t="s">
        <v>67</v>
      </c>
      <c r="B14" t="s">
        <v>68</v>
      </c>
      <c r="C14" t="s">
        <v>69</v>
      </c>
      <c r="D14" t="s">
        <v>43</v>
      </c>
      <c r="E14" t="s">
        <v>70</v>
      </c>
      <c r="F14" t="s">
        <v>71</v>
      </c>
      <c r="G14" t="s">
        <v>34</v>
      </c>
      <c r="H14" s="22">
        <v>45728</v>
      </c>
      <c r="I14">
        <v>214</v>
      </c>
      <c r="J14">
        <v>110</v>
      </c>
      <c r="K14">
        <v>650</v>
      </c>
      <c r="L14">
        <v>1000</v>
      </c>
      <c r="M14">
        <v>145</v>
      </c>
      <c r="N14">
        <v>65</v>
      </c>
      <c r="O14">
        <v>15</v>
      </c>
      <c r="P14" t="s">
        <v>72</v>
      </c>
      <c r="Q14" s="4">
        <f t="shared" si="0"/>
        <v>110000</v>
      </c>
      <c r="R14" s="4">
        <f t="shared" si="1"/>
        <v>38500</v>
      </c>
      <c r="S14" s="6" t="s">
        <v>405</v>
      </c>
    </row>
    <row r="15" spans="1:19" x14ac:dyDescent="0.25">
      <c r="A15" t="s">
        <v>73</v>
      </c>
      <c r="B15" t="s">
        <v>48</v>
      </c>
      <c r="C15" t="s">
        <v>49</v>
      </c>
      <c r="D15" t="s">
        <v>26</v>
      </c>
      <c r="E15" t="s">
        <v>50</v>
      </c>
      <c r="F15" t="s">
        <v>20</v>
      </c>
      <c r="G15" t="s">
        <v>21</v>
      </c>
      <c r="H15" s="22">
        <v>45993</v>
      </c>
      <c r="I15">
        <v>50</v>
      </c>
      <c r="J15">
        <v>9</v>
      </c>
      <c r="K15">
        <v>120</v>
      </c>
      <c r="L15">
        <v>250</v>
      </c>
      <c r="M15">
        <v>121</v>
      </c>
      <c r="N15">
        <v>62</v>
      </c>
      <c r="O15">
        <v>9</v>
      </c>
      <c r="P15" t="s">
        <v>22</v>
      </c>
      <c r="Q15" s="4">
        <f t="shared" si="0"/>
        <v>2250</v>
      </c>
      <c r="R15" s="4">
        <f t="shared" si="1"/>
        <v>1170</v>
      </c>
      <c r="S15" s="12">
        <f>SUM(M2:M301)</f>
        <v>40937</v>
      </c>
    </row>
    <row r="16" spans="1:19" x14ac:dyDescent="0.25">
      <c r="A16" t="s">
        <v>74</v>
      </c>
      <c r="B16" t="s">
        <v>75</v>
      </c>
      <c r="C16" t="s">
        <v>76</v>
      </c>
      <c r="D16" t="s">
        <v>31</v>
      </c>
      <c r="E16" t="s">
        <v>77</v>
      </c>
      <c r="F16" t="s">
        <v>71</v>
      </c>
      <c r="G16" t="s">
        <v>34</v>
      </c>
      <c r="H16" s="22">
        <v>45717</v>
      </c>
      <c r="I16">
        <v>42</v>
      </c>
      <c r="J16">
        <v>26</v>
      </c>
      <c r="K16">
        <v>900</v>
      </c>
      <c r="L16">
        <v>1500</v>
      </c>
      <c r="N16">
        <v>43</v>
      </c>
      <c r="O16">
        <v>20</v>
      </c>
      <c r="P16" t="s">
        <v>22</v>
      </c>
      <c r="Q16" s="4">
        <f t="shared" si="0"/>
        <v>39000</v>
      </c>
      <c r="R16" s="4">
        <f t="shared" si="1"/>
        <v>15600</v>
      </c>
    </row>
    <row r="17" spans="1:19" x14ac:dyDescent="0.25">
      <c r="A17" t="s">
        <v>78</v>
      </c>
      <c r="B17" t="s">
        <v>24</v>
      </c>
      <c r="C17" t="s">
        <v>25</v>
      </c>
      <c r="D17" t="s">
        <v>26</v>
      </c>
      <c r="E17" t="s">
        <v>27</v>
      </c>
      <c r="F17" t="s">
        <v>33</v>
      </c>
      <c r="G17" t="s">
        <v>34</v>
      </c>
      <c r="H17" s="22">
        <v>45891</v>
      </c>
      <c r="I17">
        <v>204</v>
      </c>
      <c r="J17">
        <v>174</v>
      </c>
      <c r="K17">
        <v>900</v>
      </c>
      <c r="L17">
        <v>1400</v>
      </c>
      <c r="M17">
        <v>203</v>
      </c>
      <c r="N17">
        <v>45</v>
      </c>
      <c r="O17">
        <v>14</v>
      </c>
      <c r="P17" t="s">
        <v>22</v>
      </c>
      <c r="Q17" s="4">
        <f t="shared" si="0"/>
        <v>243600</v>
      </c>
      <c r="R17" s="4">
        <f t="shared" si="1"/>
        <v>87000</v>
      </c>
    </row>
    <row r="18" spans="1:19" x14ac:dyDescent="0.25">
      <c r="A18" t="s">
        <v>79</v>
      </c>
      <c r="B18" t="s">
        <v>68</v>
      </c>
      <c r="C18" t="s">
        <v>69</v>
      </c>
      <c r="D18" t="s">
        <v>43</v>
      </c>
      <c r="E18" t="s">
        <v>80</v>
      </c>
      <c r="F18" t="s">
        <v>33</v>
      </c>
      <c r="G18" t="s">
        <v>34</v>
      </c>
      <c r="H18" s="22">
        <v>45755</v>
      </c>
      <c r="I18">
        <v>22</v>
      </c>
      <c r="J18">
        <v>6</v>
      </c>
      <c r="K18">
        <v>650</v>
      </c>
      <c r="L18">
        <v>1000</v>
      </c>
      <c r="M18">
        <v>228</v>
      </c>
      <c r="N18">
        <v>30</v>
      </c>
      <c r="O18">
        <v>5</v>
      </c>
      <c r="P18" t="s">
        <v>22</v>
      </c>
      <c r="Q18" s="4">
        <f t="shared" si="0"/>
        <v>6000</v>
      </c>
      <c r="R18" s="4">
        <f t="shared" si="1"/>
        <v>2100</v>
      </c>
      <c r="S18" s="13" t="s">
        <v>406</v>
      </c>
    </row>
    <row r="19" spans="1:19" x14ac:dyDescent="0.25">
      <c r="A19" t="s">
        <v>81</v>
      </c>
      <c r="B19" t="s">
        <v>37</v>
      </c>
      <c r="C19" t="s">
        <v>38</v>
      </c>
      <c r="D19" t="s">
        <v>31</v>
      </c>
      <c r="E19" t="s">
        <v>39</v>
      </c>
      <c r="F19" t="s">
        <v>33</v>
      </c>
      <c r="G19" t="s">
        <v>34</v>
      </c>
      <c r="H19" s="22">
        <v>45948</v>
      </c>
      <c r="I19">
        <v>43</v>
      </c>
      <c r="J19">
        <v>34</v>
      </c>
      <c r="K19">
        <v>8500</v>
      </c>
      <c r="L19">
        <v>11000</v>
      </c>
      <c r="M19">
        <v>54</v>
      </c>
      <c r="N19">
        <v>80</v>
      </c>
      <c r="O19">
        <v>13</v>
      </c>
      <c r="P19" t="s">
        <v>22</v>
      </c>
      <c r="Q19" s="4">
        <f t="shared" si="0"/>
        <v>374000</v>
      </c>
      <c r="R19" s="4">
        <f t="shared" si="1"/>
        <v>85000</v>
      </c>
      <c r="S19" s="14">
        <f>S3/300</f>
        <v>340961.63333333336</v>
      </c>
    </row>
    <row r="20" spans="1:19" x14ac:dyDescent="0.25">
      <c r="A20" t="s">
        <v>82</v>
      </c>
      <c r="B20" t="s">
        <v>83</v>
      </c>
      <c r="C20" t="s">
        <v>84</v>
      </c>
      <c r="D20" t="s">
        <v>85</v>
      </c>
      <c r="E20" t="s">
        <v>86</v>
      </c>
      <c r="F20" t="s">
        <v>45</v>
      </c>
      <c r="G20" t="s">
        <v>46</v>
      </c>
      <c r="H20" s="22">
        <v>45734</v>
      </c>
      <c r="I20">
        <v>167</v>
      </c>
      <c r="J20">
        <v>64</v>
      </c>
      <c r="K20">
        <v>9000</v>
      </c>
      <c r="L20">
        <v>12500</v>
      </c>
      <c r="M20">
        <v>180</v>
      </c>
      <c r="N20">
        <v>58</v>
      </c>
      <c r="O20">
        <v>13</v>
      </c>
      <c r="P20" t="s">
        <v>22</v>
      </c>
      <c r="Q20" s="4">
        <f t="shared" si="0"/>
        <v>800000</v>
      </c>
      <c r="R20" s="4">
        <f t="shared" si="1"/>
        <v>224000</v>
      </c>
    </row>
    <row r="21" spans="1:19" x14ac:dyDescent="0.25">
      <c r="A21" t="s">
        <v>87</v>
      </c>
      <c r="B21" t="s">
        <v>88</v>
      </c>
      <c r="C21" t="s">
        <v>89</v>
      </c>
      <c r="D21" t="s">
        <v>31</v>
      </c>
      <c r="E21" t="s">
        <v>90</v>
      </c>
      <c r="F21" t="s">
        <v>45</v>
      </c>
      <c r="G21" t="s">
        <v>46</v>
      </c>
      <c r="H21" s="22">
        <v>45903</v>
      </c>
      <c r="I21">
        <v>128</v>
      </c>
      <c r="J21">
        <v>79</v>
      </c>
      <c r="K21">
        <v>1600</v>
      </c>
      <c r="L21">
        <v>2500</v>
      </c>
      <c r="M21">
        <v>46</v>
      </c>
      <c r="N21">
        <v>29</v>
      </c>
      <c r="O21">
        <v>5</v>
      </c>
      <c r="P21" t="s">
        <v>51</v>
      </c>
      <c r="Q21" s="4">
        <f t="shared" si="0"/>
        <v>197500</v>
      </c>
      <c r="R21" s="4">
        <f t="shared" si="1"/>
        <v>71100</v>
      </c>
    </row>
    <row r="22" spans="1:19" x14ac:dyDescent="0.25">
      <c r="A22" t="s">
        <v>91</v>
      </c>
      <c r="B22" t="s">
        <v>88</v>
      </c>
      <c r="C22" t="s">
        <v>89</v>
      </c>
      <c r="D22" t="s">
        <v>31</v>
      </c>
      <c r="E22" t="s">
        <v>90</v>
      </c>
      <c r="F22" t="s">
        <v>20</v>
      </c>
      <c r="G22" t="s">
        <v>21</v>
      </c>
      <c r="H22" s="22">
        <v>45922</v>
      </c>
      <c r="I22">
        <v>10</v>
      </c>
      <c r="J22">
        <v>3</v>
      </c>
      <c r="K22">
        <v>1600</v>
      </c>
      <c r="L22">
        <v>2500</v>
      </c>
      <c r="M22">
        <v>273</v>
      </c>
      <c r="N22">
        <v>43</v>
      </c>
      <c r="O22">
        <v>6</v>
      </c>
      <c r="P22" t="s">
        <v>51</v>
      </c>
      <c r="Q22" s="4">
        <f t="shared" si="0"/>
        <v>7500</v>
      </c>
      <c r="R22" s="4">
        <f t="shared" si="1"/>
        <v>2700</v>
      </c>
    </row>
    <row r="23" spans="1:19" x14ac:dyDescent="0.25">
      <c r="A23" t="s">
        <v>92</v>
      </c>
      <c r="B23" t="s">
        <v>24</v>
      </c>
      <c r="C23" t="s">
        <v>25</v>
      </c>
      <c r="D23" t="s">
        <v>26</v>
      </c>
      <c r="E23" t="s">
        <v>27</v>
      </c>
      <c r="F23" t="s">
        <v>71</v>
      </c>
      <c r="G23" t="s">
        <v>34</v>
      </c>
      <c r="H23" s="22">
        <v>45987</v>
      </c>
      <c r="I23">
        <v>28</v>
      </c>
      <c r="J23">
        <v>22</v>
      </c>
      <c r="K23">
        <v>900</v>
      </c>
      <c r="L23">
        <v>1400</v>
      </c>
      <c r="M23">
        <v>136</v>
      </c>
      <c r="N23">
        <v>53</v>
      </c>
      <c r="O23">
        <v>13</v>
      </c>
      <c r="P23" t="s">
        <v>93</v>
      </c>
      <c r="Q23" s="4">
        <f t="shared" si="0"/>
        <v>30800</v>
      </c>
      <c r="R23" s="4">
        <f t="shared" si="1"/>
        <v>11000</v>
      </c>
    </row>
    <row r="24" spans="1:19" x14ac:dyDescent="0.25">
      <c r="A24" t="s">
        <v>94</v>
      </c>
      <c r="B24" t="s">
        <v>48</v>
      </c>
      <c r="C24" t="s">
        <v>49</v>
      </c>
      <c r="D24" t="s">
        <v>26</v>
      </c>
      <c r="E24" t="s">
        <v>50</v>
      </c>
      <c r="F24" t="s">
        <v>71</v>
      </c>
      <c r="G24" t="s">
        <v>34</v>
      </c>
      <c r="H24" s="22">
        <v>45983</v>
      </c>
      <c r="I24">
        <v>62</v>
      </c>
      <c r="J24">
        <v>39</v>
      </c>
      <c r="K24">
        <v>120</v>
      </c>
      <c r="L24">
        <v>250</v>
      </c>
      <c r="M24">
        <v>102</v>
      </c>
      <c r="N24">
        <v>71</v>
      </c>
      <c r="O24">
        <v>9</v>
      </c>
      <c r="P24" t="s">
        <v>51</v>
      </c>
      <c r="Q24" s="4">
        <f t="shared" si="0"/>
        <v>9750</v>
      </c>
      <c r="R24" s="4">
        <f t="shared" si="1"/>
        <v>5070</v>
      </c>
    </row>
    <row r="25" spans="1:19" x14ac:dyDescent="0.25">
      <c r="A25" t="s">
        <v>95</v>
      </c>
      <c r="B25" t="s">
        <v>83</v>
      </c>
      <c r="C25" t="s">
        <v>84</v>
      </c>
      <c r="D25" t="s">
        <v>31</v>
      </c>
      <c r="E25" t="s">
        <v>86</v>
      </c>
      <c r="F25" t="s">
        <v>96</v>
      </c>
      <c r="G25" t="s">
        <v>46</v>
      </c>
      <c r="H25" s="22">
        <v>45695</v>
      </c>
      <c r="I25">
        <v>192</v>
      </c>
      <c r="J25">
        <v>7</v>
      </c>
      <c r="K25">
        <v>9000</v>
      </c>
      <c r="L25">
        <v>12500</v>
      </c>
      <c r="M25">
        <v>17</v>
      </c>
      <c r="N25">
        <v>70</v>
      </c>
      <c r="O25">
        <v>10</v>
      </c>
      <c r="P25" t="s">
        <v>22</v>
      </c>
      <c r="Q25" s="4">
        <f t="shared" si="0"/>
        <v>87500</v>
      </c>
      <c r="R25" s="4">
        <f t="shared" si="1"/>
        <v>24500</v>
      </c>
    </row>
    <row r="26" spans="1:19" x14ac:dyDescent="0.25">
      <c r="A26" t="s">
        <v>97</v>
      </c>
      <c r="B26" t="s">
        <v>53</v>
      </c>
      <c r="C26" t="s">
        <v>54</v>
      </c>
      <c r="D26" t="s">
        <v>18</v>
      </c>
      <c r="E26" t="s">
        <v>44</v>
      </c>
      <c r="F26" t="s">
        <v>71</v>
      </c>
      <c r="G26" t="s">
        <v>34</v>
      </c>
      <c r="H26" s="22">
        <v>45886</v>
      </c>
      <c r="I26">
        <v>211</v>
      </c>
      <c r="J26">
        <v>185</v>
      </c>
      <c r="K26">
        <v>1200</v>
      </c>
      <c r="L26">
        <v>1800</v>
      </c>
      <c r="M26">
        <v>181</v>
      </c>
      <c r="N26">
        <v>43</v>
      </c>
      <c r="O26">
        <v>4</v>
      </c>
      <c r="P26" t="s">
        <v>22</v>
      </c>
      <c r="Q26" s="4">
        <f t="shared" si="0"/>
        <v>333000</v>
      </c>
      <c r="R26" s="4">
        <f t="shared" si="1"/>
        <v>111000</v>
      </c>
    </row>
    <row r="27" spans="1:19" x14ac:dyDescent="0.25">
      <c r="A27" t="s">
        <v>98</v>
      </c>
      <c r="B27" t="s">
        <v>88</v>
      </c>
      <c r="C27" t="s">
        <v>89</v>
      </c>
      <c r="D27" t="s">
        <v>31</v>
      </c>
      <c r="E27" t="s">
        <v>90</v>
      </c>
      <c r="F27" t="s">
        <v>20</v>
      </c>
      <c r="G27" t="s">
        <v>21</v>
      </c>
      <c r="H27" s="22">
        <v>45830</v>
      </c>
      <c r="I27">
        <v>57</v>
      </c>
      <c r="J27">
        <v>30</v>
      </c>
      <c r="K27">
        <v>1600</v>
      </c>
      <c r="L27">
        <v>2500</v>
      </c>
      <c r="M27">
        <v>3</v>
      </c>
      <c r="N27">
        <v>50</v>
      </c>
      <c r="O27">
        <v>13</v>
      </c>
      <c r="P27" t="s">
        <v>51</v>
      </c>
      <c r="Q27" s="4">
        <f t="shared" si="0"/>
        <v>75000</v>
      </c>
      <c r="R27" s="4">
        <f t="shared" si="1"/>
        <v>27000</v>
      </c>
    </row>
    <row r="28" spans="1:19" x14ac:dyDescent="0.25">
      <c r="A28" t="s">
        <v>99</v>
      </c>
      <c r="B28" t="s">
        <v>37</v>
      </c>
      <c r="C28" t="s">
        <v>38</v>
      </c>
      <c r="D28" t="s">
        <v>31</v>
      </c>
      <c r="E28" t="s">
        <v>39</v>
      </c>
      <c r="F28" t="s">
        <v>45</v>
      </c>
      <c r="G28" t="s">
        <v>46</v>
      </c>
      <c r="H28" s="22">
        <v>46022</v>
      </c>
      <c r="I28">
        <v>197</v>
      </c>
      <c r="J28">
        <v>51</v>
      </c>
      <c r="K28">
        <v>8500</v>
      </c>
      <c r="L28">
        <v>11000</v>
      </c>
      <c r="M28">
        <v>247</v>
      </c>
      <c r="N28">
        <v>76</v>
      </c>
      <c r="O28">
        <v>7</v>
      </c>
      <c r="P28" t="s">
        <v>22</v>
      </c>
      <c r="Q28" s="4">
        <f t="shared" si="0"/>
        <v>561000</v>
      </c>
      <c r="R28" s="4">
        <f t="shared" si="1"/>
        <v>127500</v>
      </c>
    </row>
    <row r="29" spans="1:19" x14ac:dyDescent="0.25">
      <c r="A29" t="s">
        <v>100</v>
      </c>
      <c r="B29" t="s">
        <v>60</v>
      </c>
      <c r="C29" t="s">
        <v>61</v>
      </c>
      <c r="D29" t="s">
        <v>31</v>
      </c>
      <c r="E29" t="s">
        <v>32</v>
      </c>
      <c r="F29" t="s">
        <v>45</v>
      </c>
      <c r="G29" t="s">
        <v>46</v>
      </c>
      <c r="H29" s="22">
        <v>45895</v>
      </c>
      <c r="I29">
        <v>107</v>
      </c>
      <c r="J29">
        <v>95</v>
      </c>
      <c r="K29">
        <v>800</v>
      </c>
      <c r="L29">
        <v>1200</v>
      </c>
      <c r="M29">
        <v>46</v>
      </c>
      <c r="N29">
        <v>66</v>
      </c>
      <c r="O29">
        <v>7</v>
      </c>
      <c r="P29" t="s">
        <v>101</v>
      </c>
      <c r="Q29" s="4">
        <f t="shared" si="0"/>
        <v>114000</v>
      </c>
      <c r="R29" s="4">
        <f t="shared" si="1"/>
        <v>38000</v>
      </c>
    </row>
    <row r="30" spans="1:19" x14ac:dyDescent="0.25">
      <c r="A30" t="s">
        <v>102</v>
      </c>
      <c r="B30" t="s">
        <v>103</v>
      </c>
      <c r="C30" t="s">
        <v>104</v>
      </c>
      <c r="D30" t="s">
        <v>31</v>
      </c>
      <c r="E30" t="s">
        <v>32</v>
      </c>
      <c r="F30" t="s">
        <v>20</v>
      </c>
      <c r="G30" t="s">
        <v>21</v>
      </c>
      <c r="H30" s="22">
        <v>45960</v>
      </c>
      <c r="I30">
        <v>124</v>
      </c>
      <c r="J30">
        <v>103</v>
      </c>
      <c r="K30">
        <v>42000</v>
      </c>
      <c r="L30">
        <v>52000</v>
      </c>
      <c r="M30">
        <v>77</v>
      </c>
      <c r="N30">
        <v>59</v>
      </c>
      <c r="O30">
        <v>17</v>
      </c>
      <c r="P30" t="s">
        <v>51</v>
      </c>
      <c r="Q30" s="4">
        <f t="shared" si="0"/>
        <v>5356000</v>
      </c>
      <c r="R30" s="4">
        <f t="shared" si="1"/>
        <v>1030000</v>
      </c>
    </row>
    <row r="31" spans="1:19" x14ac:dyDescent="0.25">
      <c r="A31" t="s">
        <v>105</v>
      </c>
      <c r="B31" t="s">
        <v>106</v>
      </c>
      <c r="C31" t="s">
        <v>107</v>
      </c>
      <c r="D31" t="s">
        <v>43</v>
      </c>
      <c r="E31" t="s">
        <v>108</v>
      </c>
      <c r="F31" t="s">
        <v>20</v>
      </c>
      <c r="G31" t="s">
        <v>21</v>
      </c>
      <c r="H31" s="22">
        <v>45962</v>
      </c>
      <c r="I31">
        <v>8</v>
      </c>
      <c r="J31">
        <v>1</v>
      </c>
      <c r="K31">
        <v>5500</v>
      </c>
      <c r="L31">
        <v>7500</v>
      </c>
      <c r="M31">
        <v>272</v>
      </c>
      <c r="N31">
        <v>67</v>
      </c>
      <c r="O31">
        <v>6</v>
      </c>
      <c r="P31" t="s">
        <v>22</v>
      </c>
      <c r="Q31" s="4">
        <f t="shared" si="0"/>
        <v>7500</v>
      </c>
      <c r="R31" s="4">
        <f t="shared" si="1"/>
        <v>2000</v>
      </c>
    </row>
    <row r="32" spans="1:19" x14ac:dyDescent="0.25">
      <c r="A32" t="s">
        <v>109</v>
      </c>
      <c r="B32" t="s">
        <v>83</v>
      </c>
      <c r="C32" t="s">
        <v>84</v>
      </c>
      <c r="D32" t="s">
        <v>31</v>
      </c>
      <c r="E32" t="s">
        <v>86</v>
      </c>
      <c r="F32" t="s">
        <v>33</v>
      </c>
      <c r="G32" t="s">
        <v>34</v>
      </c>
      <c r="H32" s="22">
        <v>45786</v>
      </c>
      <c r="I32">
        <v>59</v>
      </c>
      <c r="J32">
        <v>18</v>
      </c>
      <c r="K32">
        <v>9000</v>
      </c>
      <c r="L32">
        <v>12500</v>
      </c>
      <c r="M32">
        <v>259</v>
      </c>
      <c r="N32">
        <v>35</v>
      </c>
      <c r="O32">
        <v>20</v>
      </c>
      <c r="P32" t="s">
        <v>22</v>
      </c>
      <c r="Q32" s="4">
        <f t="shared" si="0"/>
        <v>225000</v>
      </c>
      <c r="R32" s="4">
        <f t="shared" si="1"/>
        <v>63000</v>
      </c>
    </row>
    <row r="33" spans="1:18" x14ac:dyDescent="0.25">
      <c r="A33" t="s">
        <v>110</v>
      </c>
      <c r="B33" t="s">
        <v>106</v>
      </c>
      <c r="C33" t="s">
        <v>107</v>
      </c>
      <c r="D33" t="s">
        <v>43</v>
      </c>
      <c r="E33" t="s">
        <v>108</v>
      </c>
      <c r="F33" t="s">
        <v>111</v>
      </c>
      <c r="G33" t="s">
        <v>34</v>
      </c>
      <c r="H33" s="22">
        <v>45664</v>
      </c>
      <c r="I33">
        <v>122</v>
      </c>
      <c r="J33">
        <v>84</v>
      </c>
      <c r="K33">
        <v>5500</v>
      </c>
      <c r="L33">
        <v>7500</v>
      </c>
      <c r="M33">
        <v>267</v>
      </c>
      <c r="N33">
        <v>46</v>
      </c>
      <c r="O33">
        <v>18</v>
      </c>
      <c r="P33" t="s">
        <v>22</v>
      </c>
      <c r="Q33" s="4">
        <f t="shared" si="0"/>
        <v>630000</v>
      </c>
      <c r="R33" s="4">
        <f t="shared" si="1"/>
        <v>168000</v>
      </c>
    </row>
    <row r="34" spans="1:18" x14ac:dyDescent="0.25">
      <c r="A34" t="s">
        <v>112</v>
      </c>
      <c r="B34" t="s">
        <v>24</v>
      </c>
      <c r="C34" t="s">
        <v>25</v>
      </c>
      <c r="D34" t="s">
        <v>26</v>
      </c>
      <c r="E34" t="s">
        <v>27</v>
      </c>
      <c r="F34" t="s">
        <v>33</v>
      </c>
      <c r="G34" t="s">
        <v>34</v>
      </c>
      <c r="H34" s="22">
        <v>45883</v>
      </c>
      <c r="I34">
        <v>203</v>
      </c>
      <c r="J34">
        <v>46</v>
      </c>
      <c r="K34">
        <v>900</v>
      </c>
      <c r="L34">
        <v>1400</v>
      </c>
      <c r="M34">
        <v>5</v>
      </c>
      <c r="N34">
        <v>69</v>
      </c>
      <c r="O34">
        <v>6</v>
      </c>
      <c r="P34" t="s">
        <v>22</v>
      </c>
      <c r="Q34" s="4">
        <f t="shared" si="0"/>
        <v>64400</v>
      </c>
      <c r="R34" s="4">
        <f t="shared" si="1"/>
        <v>23000</v>
      </c>
    </row>
    <row r="35" spans="1:18" x14ac:dyDescent="0.25">
      <c r="A35" t="s">
        <v>113</v>
      </c>
      <c r="B35" t="s">
        <v>53</v>
      </c>
      <c r="C35" t="s">
        <v>54</v>
      </c>
      <c r="D35" t="s">
        <v>18</v>
      </c>
      <c r="E35" t="s">
        <v>44</v>
      </c>
      <c r="F35" t="s">
        <v>33</v>
      </c>
      <c r="G35" t="s">
        <v>34</v>
      </c>
      <c r="H35" s="22">
        <v>45942</v>
      </c>
      <c r="I35">
        <v>20</v>
      </c>
      <c r="J35">
        <v>10</v>
      </c>
      <c r="K35">
        <v>1200</v>
      </c>
      <c r="L35">
        <v>1800</v>
      </c>
      <c r="M35">
        <v>268</v>
      </c>
      <c r="N35">
        <v>53</v>
      </c>
      <c r="O35">
        <v>19</v>
      </c>
      <c r="P35" t="s">
        <v>22</v>
      </c>
      <c r="Q35" s="4">
        <f t="shared" si="0"/>
        <v>18000</v>
      </c>
      <c r="R35" s="4">
        <f t="shared" si="1"/>
        <v>6000</v>
      </c>
    </row>
    <row r="36" spans="1:18" x14ac:dyDescent="0.25">
      <c r="A36" t="s">
        <v>114</v>
      </c>
      <c r="B36" t="s">
        <v>41</v>
      </c>
      <c r="C36" t="s">
        <v>42</v>
      </c>
      <c r="D36" t="s">
        <v>43</v>
      </c>
      <c r="E36" t="s">
        <v>44</v>
      </c>
      <c r="F36" t="s">
        <v>33</v>
      </c>
      <c r="G36" t="s">
        <v>34</v>
      </c>
      <c r="H36" s="22">
        <v>45785</v>
      </c>
      <c r="I36">
        <v>53</v>
      </c>
      <c r="J36">
        <v>17</v>
      </c>
      <c r="K36">
        <v>5000</v>
      </c>
      <c r="L36">
        <v>7000</v>
      </c>
      <c r="M36">
        <v>24</v>
      </c>
      <c r="N36">
        <v>69</v>
      </c>
      <c r="O36">
        <v>5</v>
      </c>
      <c r="P36" t="s">
        <v>22</v>
      </c>
      <c r="Q36" s="4">
        <f t="shared" si="0"/>
        <v>119000</v>
      </c>
      <c r="R36" s="4">
        <f t="shared" si="1"/>
        <v>34000</v>
      </c>
    </row>
    <row r="37" spans="1:18" x14ac:dyDescent="0.25">
      <c r="A37" t="s">
        <v>115</v>
      </c>
      <c r="B37" t="s">
        <v>60</v>
      </c>
      <c r="C37" t="s">
        <v>61</v>
      </c>
      <c r="D37" t="s">
        <v>31</v>
      </c>
      <c r="E37" t="s">
        <v>32</v>
      </c>
      <c r="F37" t="s">
        <v>45</v>
      </c>
      <c r="G37" t="s">
        <v>46</v>
      </c>
      <c r="H37" s="22">
        <v>45824</v>
      </c>
      <c r="I37">
        <v>161</v>
      </c>
      <c r="K37">
        <v>800</v>
      </c>
      <c r="L37">
        <v>1200</v>
      </c>
      <c r="M37">
        <v>265</v>
      </c>
      <c r="N37">
        <v>32</v>
      </c>
      <c r="O37">
        <v>10</v>
      </c>
      <c r="P37" t="s">
        <v>22</v>
      </c>
      <c r="Q37" s="4">
        <f t="shared" si="0"/>
        <v>0</v>
      </c>
      <c r="R37" s="4">
        <f t="shared" si="1"/>
        <v>0</v>
      </c>
    </row>
    <row r="38" spans="1:18" x14ac:dyDescent="0.25">
      <c r="A38" t="s">
        <v>116</v>
      </c>
      <c r="B38" t="s">
        <v>24</v>
      </c>
      <c r="C38" t="s">
        <v>25</v>
      </c>
      <c r="D38" t="s">
        <v>26</v>
      </c>
      <c r="E38" t="s">
        <v>27</v>
      </c>
      <c r="F38" t="s">
        <v>20</v>
      </c>
      <c r="G38" t="s">
        <v>21</v>
      </c>
      <c r="H38" s="22">
        <v>46015</v>
      </c>
      <c r="I38">
        <v>138</v>
      </c>
      <c r="J38">
        <v>66</v>
      </c>
      <c r="K38">
        <v>900</v>
      </c>
      <c r="L38">
        <v>1400</v>
      </c>
      <c r="M38">
        <v>106</v>
      </c>
      <c r="N38">
        <v>73</v>
      </c>
      <c r="O38">
        <v>16</v>
      </c>
      <c r="P38" t="s">
        <v>22</v>
      </c>
      <c r="Q38" s="4">
        <f t="shared" si="0"/>
        <v>92400</v>
      </c>
      <c r="R38" s="4">
        <f t="shared" si="1"/>
        <v>33000</v>
      </c>
    </row>
    <row r="39" spans="1:18" x14ac:dyDescent="0.25">
      <c r="A39" t="s">
        <v>117</v>
      </c>
      <c r="B39" t="s">
        <v>68</v>
      </c>
      <c r="C39" t="s">
        <v>69</v>
      </c>
      <c r="D39" t="s">
        <v>43</v>
      </c>
      <c r="E39" t="s">
        <v>80</v>
      </c>
      <c r="F39" t="s">
        <v>45</v>
      </c>
      <c r="G39" t="s">
        <v>46</v>
      </c>
      <c r="H39" s="22">
        <v>45819</v>
      </c>
      <c r="I39">
        <v>23</v>
      </c>
      <c r="J39">
        <v>21</v>
      </c>
      <c r="K39">
        <v>650</v>
      </c>
      <c r="L39">
        <v>1000</v>
      </c>
      <c r="M39">
        <v>126</v>
      </c>
      <c r="N39">
        <v>47</v>
      </c>
      <c r="O39">
        <v>4</v>
      </c>
      <c r="P39" t="s">
        <v>22</v>
      </c>
      <c r="Q39" s="4">
        <f t="shared" si="0"/>
        <v>21000</v>
      </c>
      <c r="R39" s="4">
        <f t="shared" si="1"/>
        <v>7350</v>
      </c>
    </row>
    <row r="40" spans="1:18" x14ac:dyDescent="0.25">
      <c r="A40" t="s">
        <v>118</v>
      </c>
      <c r="B40" t="s">
        <v>37</v>
      </c>
      <c r="C40" t="s">
        <v>38</v>
      </c>
      <c r="D40" t="s">
        <v>31</v>
      </c>
      <c r="E40" t="s">
        <v>39</v>
      </c>
      <c r="F40" t="s">
        <v>20</v>
      </c>
      <c r="G40" t="s">
        <v>21</v>
      </c>
      <c r="H40" s="22">
        <v>45987</v>
      </c>
      <c r="I40">
        <v>174</v>
      </c>
      <c r="J40">
        <v>93</v>
      </c>
      <c r="K40">
        <v>8500</v>
      </c>
      <c r="L40">
        <v>11000</v>
      </c>
      <c r="M40">
        <v>76</v>
      </c>
      <c r="N40">
        <v>36</v>
      </c>
      <c r="O40">
        <v>6</v>
      </c>
      <c r="P40" t="s">
        <v>72</v>
      </c>
      <c r="Q40" s="4">
        <f t="shared" si="0"/>
        <v>1023000</v>
      </c>
      <c r="R40" s="4">
        <f t="shared" si="1"/>
        <v>232500</v>
      </c>
    </row>
    <row r="41" spans="1:18" x14ac:dyDescent="0.25">
      <c r="A41" t="s">
        <v>119</v>
      </c>
      <c r="B41" t="s">
        <v>37</v>
      </c>
      <c r="C41" t="s">
        <v>38</v>
      </c>
      <c r="D41" t="s">
        <v>31</v>
      </c>
      <c r="E41" t="s">
        <v>39</v>
      </c>
      <c r="F41" t="s">
        <v>45</v>
      </c>
      <c r="G41" t="s">
        <v>46</v>
      </c>
      <c r="H41" s="22">
        <v>45907</v>
      </c>
      <c r="I41">
        <v>46</v>
      </c>
      <c r="J41">
        <v>42</v>
      </c>
      <c r="K41">
        <v>8500</v>
      </c>
      <c r="L41">
        <v>11000</v>
      </c>
      <c r="M41">
        <v>117</v>
      </c>
      <c r="N41">
        <v>30</v>
      </c>
      <c r="O41">
        <v>15</v>
      </c>
      <c r="P41" t="s">
        <v>72</v>
      </c>
      <c r="Q41" s="4">
        <f t="shared" si="0"/>
        <v>462000</v>
      </c>
      <c r="R41" s="4">
        <f t="shared" si="1"/>
        <v>105000</v>
      </c>
    </row>
    <row r="42" spans="1:18" x14ac:dyDescent="0.25">
      <c r="A42" t="s">
        <v>120</v>
      </c>
      <c r="B42" t="s">
        <v>16</v>
      </c>
      <c r="C42" t="s">
        <v>17</v>
      </c>
      <c r="D42" t="s">
        <v>18</v>
      </c>
      <c r="E42" t="s">
        <v>19</v>
      </c>
      <c r="F42" t="s">
        <v>45</v>
      </c>
      <c r="G42" t="s">
        <v>46</v>
      </c>
      <c r="H42" s="22">
        <v>45758</v>
      </c>
      <c r="I42">
        <v>96</v>
      </c>
      <c r="J42">
        <v>40</v>
      </c>
      <c r="K42">
        <v>45</v>
      </c>
      <c r="L42">
        <v>80</v>
      </c>
      <c r="M42">
        <v>50</v>
      </c>
      <c r="N42">
        <v>66</v>
      </c>
      <c r="O42">
        <v>13</v>
      </c>
      <c r="P42" t="s">
        <v>22</v>
      </c>
      <c r="Q42" s="4">
        <f t="shared" si="0"/>
        <v>3200</v>
      </c>
      <c r="R42" s="4">
        <f t="shared" si="1"/>
        <v>1400</v>
      </c>
    </row>
    <row r="43" spans="1:18" x14ac:dyDescent="0.25">
      <c r="A43" t="s">
        <v>121</v>
      </c>
      <c r="B43" t="s">
        <v>122</v>
      </c>
      <c r="C43" t="s">
        <v>123</v>
      </c>
      <c r="D43" t="s">
        <v>31</v>
      </c>
      <c r="E43" t="s">
        <v>124</v>
      </c>
      <c r="F43" t="s">
        <v>33</v>
      </c>
      <c r="G43" t="s">
        <v>34</v>
      </c>
      <c r="H43" s="22">
        <v>45854</v>
      </c>
      <c r="I43">
        <v>89</v>
      </c>
      <c r="J43">
        <v>66</v>
      </c>
      <c r="K43">
        <v>4500</v>
      </c>
      <c r="L43">
        <v>6500</v>
      </c>
      <c r="M43">
        <v>154</v>
      </c>
      <c r="N43">
        <v>52</v>
      </c>
      <c r="O43">
        <v>4</v>
      </c>
      <c r="P43" t="s">
        <v>22</v>
      </c>
      <c r="Q43" s="4">
        <f t="shared" si="0"/>
        <v>429000</v>
      </c>
      <c r="R43" s="4">
        <f t="shared" si="1"/>
        <v>132000</v>
      </c>
    </row>
    <row r="44" spans="1:18" x14ac:dyDescent="0.25">
      <c r="A44" t="s">
        <v>125</v>
      </c>
      <c r="B44" t="s">
        <v>37</v>
      </c>
      <c r="C44" t="s">
        <v>38</v>
      </c>
      <c r="D44" t="s">
        <v>31</v>
      </c>
      <c r="E44" t="s">
        <v>39</v>
      </c>
      <c r="F44" t="s">
        <v>33</v>
      </c>
      <c r="G44" t="s">
        <v>34</v>
      </c>
      <c r="H44" s="22">
        <v>45793</v>
      </c>
      <c r="I44">
        <v>74</v>
      </c>
      <c r="J44">
        <v>5</v>
      </c>
      <c r="K44">
        <v>8500</v>
      </c>
      <c r="L44">
        <v>11000</v>
      </c>
      <c r="M44">
        <v>95</v>
      </c>
      <c r="N44">
        <v>37</v>
      </c>
      <c r="O44">
        <v>6</v>
      </c>
      <c r="P44" t="s">
        <v>51</v>
      </c>
      <c r="Q44" s="4">
        <f t="shared" si="0"/>
        <v>55000</v>
      </c>
      <c r="R44" s="4">
        <f t="shared" si="1"/>
        <v>12500</v>
      </c>
    </row>
    <row r="45" spans="1:18" x14ac:dyDescent="0.25">
      <c r="A45" t="s">
        <v>126</v>
      </c>
      <c r="B45" t="s">
        <v>68</v>
      </c>
      <c r="C45" t="s">
        <v>69</v>
      </c>
      <c r="D45" t="s">
        <v>43</v>
      </c>
      <c r="E45" t="s">
        <v>80</v>
      </c>
      <c r="F45" t="s">
        <v>20</v>
      </c>
      <c r="G45" t="s">
        <v>21</v>
      </c>
      <c r="H45" s="22">
        <v>45698</v>
      </c>
      <c r="I45">
        <v>136</v>
      </c>
      <c r="J45">
        <v>126</v>
      </c>
      <c r="K45">
        <v>650</v>
      </c>
      <c r="L45">
        <v>1000</v>
      </c>
      <c r="M45">
        <v>170</v>
      </c>
      <c r="N45">
        <v>25</v>
      </c>
      <c r="O45">
        <v>10</v>
      </c>
      <c r="P45" t="s">
        <v>22</v>
      </c>
      <c r="Q45" s="4">
        <f t="shared" si="0"/>
        <v>126000</v>
      </c>
      <c r="R45" s="4">
        <f t="shared" si="1"/>
        <v>44100</v>
      </c>
    </row>
    <row r="46" spans="1:18" x14ac:dyDescent="0.25">
      <c r="A46" t="s">
        <v>127</v>
      </c>
      <c r="B46" t="s">
        <v>56</v>
      </c>
      <c r="C46" t="s">
        <v>57</v>
      </c>
      <c r="D46" t="s">
        <v>26</v>
      </c>
      <c r="E46" t="s">
        <v>58</v>
      </c>
      <c r="F46" t="s">
        <v>33</v>
      </c>
      <c r="G46" t="s">
        <v>34</v>
      </c>
      <c r="H46" s="22">
        <v>45795</v>
      </c>
      <c r="I46">
        <v>9</v>
      </c>
      <c r="J46">
        <v>1</v>
      </c>
      <c r="K46">
        <v>900</v>
      </c>
      <c r="L46">
        <v>1400</v>
      </c>
      <c r="M46">
        <v>136</v>
      </c>
      <c r="N46">
        <v>25</v>
      </c>
      <c r="O46" t="s">
        <v>401</v>
      </c>
      <c r="P46" t="s">
        <v>22</v>
      </c>
      <c r="Q46" s="4">
        <f t="shared" si="0"/>
        <v>1400</v>
      </c>
      <c r="R46" s="4">
        <f t="shared" si="1"/>
        <v>500</v>
      </c>
    </row>
    <row r="47" spans="1:18" x14ac:dyDescent="0.25">
      <c r="A47" t="s">
        <v>128</v>
      </c>
      <c r="B47" t="s">
        <v>122</v>
      </c>
      <c r="C47" t="s">
        <v>123</v>
      </c>
      <c r="D47" t="s">
        <v>31</v>
      </c>
      <c r="E47" t="s">
        <v>124</v>
      </c>
      <c r="F47" t="s">
        <v>33</v>
      </c>
      <c r="G47" t="s">
        <v>34</v>
      </c>
      <c r="H47" s="22">
        <v>45831</v>
      </c>
      <c r="I47">
        <v>146</v>
      </c>
      <c r="J47">
        <v>106</v>
      </c>
      <c r="K47">
        <v>4500</v>
      </c>
      <c r="L47">
        <v>6500</v>
      </c>
      <c r="M47">
        <v>140</v>
      </c>
      <c r="N47">
        <v>59</v>
      </c>
      <c r="O47">
        <v>6</v>
      </c>
      <c r="P47" t="s">
        <v>22</v>
      </c>
      <c r="Q47" s="4">
        <f t="shared" si="0"/>
        <v>689000</v>
      </c>
      <c r="R47" s="4">
        <f t="shared" si="1"/>
        <v>212000</v>
      </c>
    </row>
    <row r="48" spans="1:18" x14ac:dyDescent="0.25">
      <c r="A48" t="s">
        <v>129</v>
      </c>
      <c r="B48" t="s">
        <v>37</v>
      </c>
      <c r="C48" t="s">
        <v>38</v>
      </c>
      <c r="D48" t="s">
        <v>31</v>
      </c>
      <c r="E48" t="s">
        <v>39</v>
      </c>
      <c r="F48" t="s">
        <v>20</v>
      </c>
      <c r="G48" t="s">
        <v>21</v>
      </c>
      <c r="H48" s="22">
        <v>45792</v>
      </c>
      <c r="I48">
        <v>17</v>
      </c>
      <c r="J48">
        <v>5</v>
      </c>
      <c r="K48">
        <v>8500</v>
      </c>
      <c r="L48">
        <v>11000</v>
      </c>
      <c r="M48">
        <v>106</v>
      </c>
      <c r="N48">
        <v>79</v>
      </c>
      <c r="O48">
        <v>11</v>
      </c>
      <c r="P48" t="s">
        <v>22</v>
      </c>
      <c r="Q48" s="4">
        <f t="shared" si="0"/>
        <v>55000</v>
      </c>
      <c r="R48" s="4">
        <f t="shared" si="1"/>
        <v>12500</v>
      </c>
    </row>
    <row r="49" spans="1:18" x14ac:dyDescent="0.25">
      <c r="A49" t="s">
        <v>130</v>
      </c>
      <c r="B49" t="s">
        <v>63</v>
      </c>
      <c r="C49" t="s">
        <v>64</v>
      </c>
      <c r="D49" t="s">
        <v>31</v>
      </c>
      <c r="E49" t="s">
        <v>131</v>
      </c>
      <c r="F49" t="s">
        <v>45</v>
      </c>
      <c r="G49" t="s">
        <v>46</v>
      </c>
      <c r="H49" s="22">
        <v>45914</v>
      </c>
      <c r="I49">
        <v>177</v>
      </c>
      <c r="J49">
        <v>45</v>
      </c>
      <c r="K49">
        <v>1800</v>
      </c>
      <c r="L49">
        <v>2800</v>
      </c>
      <c r="M49">
        <v>141</v>
      </c>
      <c r="N49">
        <v>42</v>
      </c>
      <c r="O49">
        <v>2</v>
      </c>
      <c r="P49" t="s">
        <v>72</v>
      </c>
      <c r="Q49" s="4">
        <f t="shared" si="0"/>
        <v>126000</v>
      </c>
      <c r="R49" s="4">
        <f t="shared" si="1"/>
        <v>45000</v>
      </c>
    </row>
    <row r="50" spans="1:18" x14ac:dyDescent="0.25">
      <c r="A50" t="s">
        <v>132</v>
      </c>
      <c r="B50" t="s">
        <v>103</v>
      </c>
      <c r="C50" t="s">
        <v>104</v>
      </c>
      <c r="D50" t="s">
        <v>31</v>
      </c>
      <c r="E50" t="s">
        <v>32</v>
      </c>
      <c r="F50" t="s">
        <v>33</v>
      </c>
      <c r="G50" t="s">
        <v>34</v>
      </c>
      <c r="H50" s="22">
        <v>45916</v>
      </c>
      <c r="I50">
        <v>146</v>
      </c>
      <c r="J50">
        <v>48</v>
      </c>
      <c r="K50">
        <v>42000</v>
      </c>
      <c r="L50">
        <v>52000</v>
      </c>
      <c r="M50">
        <v>266</v>
      </c>
      <c r="N50">
        <v>50</v>
      </c>
      <c r="O50">
        <v>9</v>
      </c>
      <c r="P50" t="s">
        <v>93</v>
      </c>
      <c r="Q50" s="4">
        <f t="shared" si="0"/>
        <v>2496000</v>
      </c>
      <c r="R50" s="4">
        <f t="shared" si="1"/>
        <v>480000</v>
      </c>
    </row>
    <row r="51" spans="1:18" x14ac:dyDescent="0.25">
      <c r="A51" t="s">
        <v>133</v>
      </c>
      <c r="B51" t="s">
        <v>56</v>
      </c>
      <c r="C51" t="s">
        <v>57</v>
      </c>
      <c r="D51" t="s">
        <v>26</v>
      </c>
      <c r="E51" t="s">
        <v>58</v>
      </c>
      <c r="F51" t="s">
        <v>45</v>
      </c>
      <c r="G51" t="s">
        <v>46</v>
      </c>
      <c r="H51" s="22">
        <v>45937</v>
      </c>
      <c r="I51">
        <v>218</v>
      </c>
      <c r="J51">
        <v>100</v>
      </c>
      <c r="K51">
        <v>900</v>
      </c>
      <c r="L51">
        <v>1400</v>
      </c>
      <c r="M51">
        <v>262</v>
      </c>
      <c r="N51">
        <v>39</v>
      </c>
      <c r="O51">
        <v>8</v>
      </c>
      <c r="P51" t="s">
        <v>72</v>
      </c>
      <c r="Q51" s="4">
        <f t="shared" si="0"/>
        <v>140000</v>
      </c>
      <c r="R51" s="4">
        <f t="shared" si="1"/>
        <v>50000</v>
      </c>
    </row>
    <row r="52" spans="1:18" x14ac:dyDescent="0.25">
      <c r="A52" t="s">
        <v>134</v>
      </c>
      <c r="B52" t="s">
        <v>83</v>
      </c>
      <c r="C52" t="s">
        <v>84</v>
      </c>
      <c r="D52" t="s">
        <v>31</v>
      </c>
      <c r="E52" t="s">
        <v>86</v>
      </c>
      <c r="F52" t="s">
        <v>20</v>
      </c>
      <c r="G52" t="s">
        <v>21</v>
      </c>
      <c r="H52" s="22">
        <v>45865</v>
      </c>
      <c r="I52">
        <v>93</v>
      </c>
      <c r="J52">
        <v>6</v>
      </c>
      <c r="K52">
        <v>9000</v>
      </c>
      <c r="L52">
        <v>12500</v>
      </c>
      <c r="M52">
        <v>69</v>
      </c>
      <c r="N52">
        <v>20</v>
      </c>
      <c r="O52">
        <v>4</v>
      </c>
      <c r="P52" t="s">
        <v>22</v>
      </c>
      <c r="Q52" s="4">
        <f t="shared" si="0"/>
        <v>75000</v>
      </c>
      <c r="R52" s="4">
        <f t="shared" si="1"/>
        <v>21000</v>
      </c>
    </row>
    <row r="53" spans="1:18" x14ac:dyDescent="0.25">
      <c r="A53" t="s">
        <v>135</v>
      </c>
      <c r="B53" t="s">
        <v>56</v>
      </c>
      <c r="C53" t="s">
        <v>57</v>
      </c>
      <c r="D53" t="s">
        <v>26</v>
      </c>
      <c r="E53" t="s">
        <v>58</v>
      </c>
      <c r="F53" t="s">
        <v>20</v>
      </c>
      <c r="G53" t="s">
        <v>21</v>
      </c>
      <c r="H53" s="22">
        <v>45686</v>
      </c>
      <c r="I53">
        <v>26</v>
      </c>
      <c r="J53">
        <v>21</v>
      </c>
      <c r="K53">
        <v>900</v>
      </c>
      <c r="L53">
        <v>1400</v>
      </c>
      <c r="M53">
        <v>198</v>
      </c>
      <c r="N53">
        <v>75</v>
      </c>
      <c r="O53">
        <v>18</v>
      </c>
      <c r="P53" t="s">
        <v>51</v>
      </c>
      <c r="Q53" s="4">
        <f t="shared" si="0"/>
        <v>29400</v>
      </c>
      <c r="R53" s="4">
        <f t="shared" si="1"/>
        <v>10500</v>
      </c>
    </row>
    <row r="54" spans="1:18" x14ac:dyDescent="0.25">
      <c r="A54" t="s">
        <v>136</v>
      </c>
      <c r="B54" t="s">
        <v>53</v>
      </c>
      <c r="C54" t="s">
        <v>54</v>
      </c>
      <c r="D54" t="s">
        <v>18</v>
      </c>
      <c r="E54" t="s">
        <v>44</v>
      </c>
      <c r="F54" t="s">
        <v>20</v>
      </c>
      <c r="G54" t="s">
        <v>21</v>
      </c>
      <c r="H54" s="22">
        <v>46012</v>
      </c>
      <c r="I54">
        <v>80</v>
      </c>
      <c r="J54">
        <v>5</v>
      </c>
      <c r="K54">
        <v>1200</v>
      </c>
      <c r="L54">
        <v>1800</v>
      </c>
      <c r="M54">
        <v>238</v>
      </c>
      <c r="N54">
        <v>31</v>
      </c>
      <c r="O54">
        <v>7</v>
      </c>
      <c r="P54" t="s">
        <v>22</v>
      </c>
      <c r="Q54" s="4">
        <f t="shared" si="0"/>
        <v>9000</v>
      </c>
      <c r="R54" s="4">
        <f t="shared" si="1"/>
        <v>3000</v>
      </c>
    </row>
    <row r="55" spans="1:18" x14ac:dyDescent="0.25">
      <c r="A55" t="s">
        <v>137</v>
      </c>
      <c r="B55" t="s">
        <v>75</v>
      </c>
      <c r="C55" t="s">
        <v>76</v>
      </c>
      <c r="D55" t="s">
        <v>31</v>
      </c>
      <c r="E55" t="s">
        <v>77</v>
      </c>
      <c r="F55" t="s">
        <v>71</v>
      </c>
      <c r="G55" t="s">
        <v>34</v>
      </c>
      <c r="H55" s="22">
        <v>45826</v>
      </c>
      <c r="I55">
        <v>145</v>
      </c>
      <c r="J55">
        <v>82</v>
      </c>
      <c r="K55">
        <v>900</v>
      </c>
      <c r="L55">
        <v>1500</v>
      </c>
      <c r="M55">
        <v>128</v>
      </c>
      <c r="N55">
        <v>22</v>
      </c>
      <c r="O55">
        <v>11</v>
      </c>
      <c r="P55" t="s">
        <v>22</v>
      </c>
      <c r="Q55" s="4">
        <f t="shared" si="0"/>
        <v>123000</v>
      </c>
      <c r="R55" s="4">
        <f t="shared" si="1"/>
        <v>49200</v>
      </c>
    </row>
    <row r="56" spans="1:18" x14ac:dyDescent="0.25">
      <c r="A56" t="s">
        <v>138</v>
      </c>
      <c r="B56" t="s">
        <v>103</v>
      </c>
      <c r="C56" t="s">
        <v>104</v>
      </c>
      <c r="D56" t="s">
        <v>31</v>
      </c>
      <c r="E56" t="s">
        <v>32</v>
      </c>
      <c r="F56" t="s">
        <v>71</v>
      </c>
      <c r="G56" t="s">
        <v>34</v>
      </c>
      <c r="H56" s="22">
        <v>45853</v>
      </c>
      <c r="I56">
        <v>26</v>
      </c>
      <c r="J56">
        <v>15</v>
      </c>
      <c r="K56">
        <v>42000</v>
      </c>
      <c r="L56">
        <v>52000</v>
      </c>
      <c r="M56">
        <v>145</v>
      </c>
      <c r="N56">
        <v>52</v>
      </c>
      <c r="O56">
        <v>8</v>
      </c>
      <c r="P56" t="s">
        <v>22</v>
      </c>
      <c r="Q56" s="4">
        <f t="shared" si="0"/>
        <v>780000</v>
      </c>
      <c r="R56" s="4">
        <f t="shared" si="1"/>
        <v>150000</v>
      </c>
    </row>
    <row r="57" spans="1:18" x14ac:dyDescent="0.25">
      <c r="A57" t="s">
        <v>139</v>
      </c>
      <c r="B57" t="s">
        <v>60</v>
      </c>
      <c r="C57" t="s">
        <v>61</v>
      </c>
      <c r="D57" t="s">
        <v>31</v>
      </c>
      <c r="E57" t="s">
        <v>32</v>
      </c>
      <c r="F57" t="s">
        <v>71</v>
      </c>
      <c r="G57" t="s">
        <v>34</v>
      </c>
      <c r="H57" s="22">
        <v>45703</v>
      </c>
      <c r="I57">
        <v>41</v>
      </c>
      <c r="J57">
        <v>25</v>
      </c>
      <c r="K57">
        <v>800</v>
      </c>
      <c r="L57">
        <v>1200</v>
      </c>
      <c r="M57">
        <v>24</v>
      </c>
      <c r="N57">
        <v>45</v>
      </c>
      <c r="O57">
        <v>2</v>
      </c>
      <c r="P57" t="s">
        <v>140</v>
      </c>
      <c r="Q57" s="4">
        <f t="shared" si="0"/>
        <v>30000</v>
      </c>
      <c r="R57" s="4">
        <f t="shared" si="1"/>
        <v>10000</v>
      </c>
    </row>
    <row r="58" spans="1:18" x14ac:dyDescent="0.25">
      <c r="A58" t="s">
        <v>141</v>
      </c>
      <c r="B58" t="s">
        <v>60</v>
      </c>
      <c r="C58" t="s">
        <v>61</v>
      </c>
      <c r="D58" t="s">
        <v>31</v>
      </c>
      <c r="E58" t="s">
        <v>32</v>
      </c>
      <c r="F58" t="s">
        <v>20</v>
      </c>
      <c r="G58" t="s">
        <v>21</v>
      </c>
      <c r="H58" s="22">
        <v>45994</v>
      </c>
      <c r="I58">
        <v>188</v>
      </c>
      <c r="J58">
        <v>152</v>
      </c>
      <c r="K58">
        <v>800</v>
      </c>
      <c r="L58">
        <v>1200</v>
      </c>
      <c r="M58">
        <v>202</v>
      </c>
      <c r="N58">
        <v>68</v>
      </c>
      <c r="O58">
        <v>12</v>
      </c>
      <c r="P58" t="s">
        <v>51</v>
      </c>
      <c r="Q58" s="4">
        <f t="shared" si="0"/>
        <v>182400</v>
      </c>
      <c r="R58" s="4">
        <f t="shared" si="1"/>
        <v>60800</v>
      </c>
    </row>
    <row r="59" spans="1:18" x14ac:dyDescent="0.25">
      <c r="A59" t="s">
        <v>142</v>
      </c>
      <c r="B59" t="s">
        <v>106</v>
      </c>
      <c r="C59" t="s">
        <v>107</v>
      </c>
      <c r="D59" t="s">
        <v>43</v>
      </c>
      <c r="E59" t="s">
        <v>108</v>
      </c>
      <c r="F59" t="s">
        <v>71</v>
      </c>
      <c r="G59" t="s">
        <v>34</v>
      </c>
      <c r="H59" s="22">
        <v>45974</v>
      </c>
      <c r="I59">
        <v>169</v>
      </c>
      <c r="J59">
        <v>37</v>
      </c>
      <c r="K59">
        <v>5500</v>
      </c>
      <c r="L59">
        <v>7500</v>
      </c>
      <c r="M59">
        <v>25</v>
      </c>
      <c r="N59">
        <v>72</v>
      </c>
      <c r="O59">
        <v>18</v>
      </c>
      <c r="P59" t="s">
        <v>22</v>
      </c>
      <c r="Q59" s="4">
        <f t="shared" si="0"/>
        <v>277500</v>
      </c>
      <c r="R59" s="4">
        <f t="shared" si="1"/>
        <v>74000</v>
      </c>
    </row>
    <row r="60" spans="1:18" x14ac:dyDescent="0.25">
      <c r="A60" t="s">
        <v>143</v>
      </c>
      <c r="B60" t="s">
        <v>24</v>
      </c>
      <c r="C60" t="s">
        <v>25</v>
      </c>
      <c r="D60" t="s">
        <v>26</v>
      </c>
      <c r="E60" t="s">
        <v>27</v>
      </c>
      <c r="F60" t="s">
        <v>33</v>
      </c>
      <c r="G60" t="s">
        <v>34</v>
      </c>
      <c r="H60" s="22">
        <v>46009</v>
      </c>
      <c r="I60">
        <v>154</v>
      </c>
      <c r="J60">
        <v>58</v>
      </c>
      <c r="K60">
        <v>900</v>
      </c>
      <c r="L60">
        <v>1400</v>
      </c>
      <c r="M60">
        <v>46</v>
      </c>
      <c r="N60">
        <v>21</v>
      </c>
      <c r="O60">
        <v>3</v>
      </c>
      <c r="P60" t="s">
        <v>22</v>
      </c>
      <c r="Q60" s="4">
        <f t="shared" si="0"/>
        <v>81200</v>
      </c>
      <c r="R60" s="4">
        <f t="shared" si="1"/>
        <v>29000</v>
      </c>
    </row>
    <row r="61" spans="1:18" x14ac:dyDescent="0.25">
      <c r="A61" t="s">
        <v>144</v>
      </c>
      <c r="B61" t="s">
        <v>37</v>
      </c>
      <c r="C61" t="s">
        <v>38</v>
      </c>
      <c r="D61" t="s">
        <v>31</v>
      </c>
      <c r="E61" t="s">
        <v>39</v>
      </c>
      <c r="F61" t="s">
        <v>45</v>
      </c>
      <c r="G61" t="s">
        <v>46</v>
      </c>
      <c r="H61" s="22">
        <v>45889</v>
      </c>
      <c r="I61">
        <v>147</v>
      </c>
      <c r="J61">
        <v>12</v>
      </c>
      <c r="K61">
        <v>8500</v>
      </c>
      <c r="L61">
        <v>11000</v>
      </c>
      <c r="M61">
        <v>12</v>
      </c>
      <c r="N61">
        <v>60</v>
      </c>
      <c r="O61">
        <v>19</v>
      </c>
      <c r="P61" t="s">
        <v>51</v>
      </c>
      <c r="Q61" s="4">
        <f t="shared" si="0"/>
        <v>132000</v>
      </c>
      <c r="R61" s="4">
        <f t="shared" si="1"/>
        <v>30000</v>
      </c>
    </row>
    <row r="62" spans="1:18" x14ac:dyDescent="0.25">
      <c r="A62" t="s">
        <v>145</v>
      </c>
      <c r="B62" t="s">
        <v>75</v>
      </c>
      <c r="C62" t="s">
        <v>76</v>
      </c>
      <c r="D62" t="s">
        <v>31</v>
      </c>
      <c r="E62" t="s">
        <v>77</v>
      </c>
      <c r="F62" t="s">
        <v>33</v>
      </c>
      <c r="G62" t="s">
        <v>34</v>
      </c>
      <c r="H62" s="22">
        <v>45891</v>
      </c>
      <c r="I62">
        <v>209</v>
      </c>
      <c r="J62">
        <v>17</v>
      </c>
      <c r="K62">
        <v>900</v>
      </c>
      <c r="L62">
        <v>1500</v>
      </c>
      <c r="M62">
        <v>260</v>
      </c>
      <c r="N62">
        <v>77</v>
      </c>
      <c r="O62">
        <v>19</v>
      </c>
      <c r="P62" t="s">
        <v>22</v>
      </c>
      <c r="Q62" s="4">
        <f t="shared" si="0"/>
        <v>25500</v>
      </c>
      <c r="R62" s="4">
        <f t="shared" si="1"/>
        <v>10200</v>
      </c>
    </row>
    <row r="63" spans="1:18" x14ac:dyDescent="0.25">
      <c r="A63" t="s">
        <v>146</v>
      </c>
      <c r="B63" t="s">
        <v>88</v>
      </c>
      <c r="C63" t="s">
        <v>89</v>
      </c>
      <c r="D63" t="s">
        <v>31</v>
      </c>
      <c r="E63" t="s">
        <v>90</v>
      </c>
      <c r="F63" t="s">
        <v>71</v>
      </c>
      <c r="G63" t="s">
        <v>34</v>
      </c>
      <c r="H63" s="22">
        <v>45696</v>
      </c>
      <c r="I63">
        <v>72</v>
      </c>
      <c r="J63">
        <v>30</v>
      </c>
      <c r="K63">
        <v>1600</v>
      </c>
      <c r="L63">
        <v>2500</v>
      </c>
      <c r="M63">
        <v>108</v>
      </c>
      <c r="N63">
        <v>34</v>
      </c>
      <c r="O63">
        <v>16</v>
      </c>
      <c r="P63" t="s">
        <v>22</v>
      </c>
      <c r="Q63" s="4">
        <f t="shared" si="0"/>
        <v>75000</v>
      </c>
      <c r="R63" s="4">
        <f t="shared" si="1"/>
        <v>27000</v>
      </c>
    </row>
    <row r="64" spans="1:18" x14ac:dyDescent="0.25">
      <c r="A64" t="s">
        <v>147</v>
      </c>
      <c r="B64" t="s">
        <v>60</v>
      </c>
      <c r="C64" t="s">
        <v>61</v>
      </c>
      <c r="D64" t="s">
        <v>148</v>
      </c>
      <c r="E64" t="s">
        <v>32</v>
      </c>
      <c r="F64" t="s">
        <v>45</v>
      </c>
      <c r="G64" t="s">
        <v>46</v>
      </c>
      <c r="H64" s="22">
        <v>46008</v>
      </c>
      <c r="I64">
        <v>78</v>
      </c>
      <c r="J64">
        <v>5</v>
      </c>
      <c r="K64">
        <v>800</v>
      </c>
      <c r="L64">
        <v>1200</v>
      </c>
      <c r="M64">
        <v>104</v>
      </c>
      <c r="N64">
        <v>24</v>
      </c>
      <c r="O64">
        <v>6</v>
      </c>
      <c r="P64" t="s">
        <v>22</v>
      </c>
      <c r="Q64" s="4">
        <f t="shared" si="0"/>
        <v>6000</v>
      </c>
      <c r="R64" s="4">
        <f t="shared" si="1"/>
        <v>2000</v>
      </c>
    </row>
    <row r="65" spans="1:18" x14ac:dyDescent="0.25">
      <c r="A65" t="s">
        <v>149</v>
      </c>
      <c r="B65" t="s">
        <v>53</v>
      </c>
      <c r="C65" t="s">
        <v>54</v>
      </c>
      <c r="D65" t="s">
        <v>18</v>
      </c>
      <c r="E65" t="s">
        <v>44</v>
      </c>
      <c r="F65" t="s">
        <v>20</v>
      </c>
      <c r="G65" t="s">
        <v>21</v>
      </c>
      <c r="H65" s="22">
        <v>45664</v>
      </c>
      <c r="I65">
        <v>128</v>
      </c>
      <c r="J65">
        <v>15</v>
      </c>
      <c r="K65">
        <v>1200</v>
      </c>
      <c r="L65">
        <v>1800</v>
      </c>
      <c r="M65">
        <v>251</v>
      </c>
      <c r="N65">
        <v>37</v>
      </c>
      <c r="O65">
        <v>5</v>
      </c>
      <c r="P65" t="s">
        <v>51</v>
      </c>
      <c r="Q65" s="4">
        <f t="shared" si="0"/>
        <v>27000</v>
      </c>
      <c r="R65" s="4">
        <f t="shared" si="1"/>
        <v>9000</v>
      </c>
    </row>
    <row r="66" spans="1:18" x14ac:dyDescent="0.25">
      <c r="A66" t="s">
        <v>150</v>
      </c>
      <c r="B66" t="s">
        <v>63</v>
      </c>
      <c r="C66" t="s">
        <v>64</v>
      </c>
      <c r="D66" t="s">
        <v>31</v>
      </c>
      <c r="E66" t="s">
        <v>65</v>
      </c>
      <c r="F66" t="s">
        <v>71</v>
      </c>
      <c r="G66" t="s">
        <v>34</v>
      </c>
      <c r="H66" s="22">
        <v>45895</v>
      </c>
      <c r="I66">
        <v>124</v>
      </c>
      <c r="J66">
        <v>59</v>
      </c>
      <c r="K66">
        <v>1800</v>
      </c>
      <c r="L66">
        <v>2800</v>
      </c>
      <c r="M66">
        <v>63</v>
      </c>
      <c r="N66">
        <v>77</v>
      </c>
      <c r="O66">
        <v>19</v>
      </c>
      <c r="P66" t="s">
        <v>22</v>
      </c>
      <c r="Q66" s="4">
        <f t="shared" si="0"/>
        <v>165200</v>
      </c>
      <c r="R66" s="4">
        <f t="shared" si="1"/>
        <v>59000</v>
      </c>
    </row>
    <row r="67" spans="1:18" x14ac:dyDescent="0.25">
      <c r="A67" t="s">
        <v>151</v>
      </c>
      <c r="B67" t="s">
        <v>88</v>
      </c>
      <c r="C67" t="s">
        <v>89</v>
      </c>
      <c r="D67" t="s">
        <v>31</v>
      </c>
      <c r="E67" t="s">
        <v>90</v>
      </c>
      <c r="F67" t="s">
        <v>33</v>
      </c>
      <c r="G67" t="s">
        <v>34</v>
      </c>
      <c r="H67" s="22">
        <v>45806</v>
      </c>
      <c r="I67">
        <v>122</v>
      </c>
      <c r="J67">
        <v>9</v>
      </c>
      <c r="K67">
        <v>1600</v>
      </c>
      <c r="L67">
        <v>2500</v>
      </c>
      <c r="M67">
        <v>262</v>
      </c>
      <c r="N67">
        <v>48</v>
      </c>
      <c r="O67">
        <v>10</v>
      </c>
      <c r="P67" t="s">
        <v>22</v>
      </c>
      <c r="Q67" s="4">
        <f t="shared" ref="Q67:Q130" si="2">J67*L67</f>
        <v>22500</v>
      </c>
      <c r="R67" s="4">
        <f t="shared" ref="R67:R130" si="3">(L67-K67)*J67</f>
        <v>8100</v>
      </c>
    </row>
    <row r="68" spans="1:18" x14ac:dyDescent="0.25">
      <c r="A68" t="s">
        <v>152</v>
      </c>
      <c r="B68" t="s">
        <v>60</v>
      </c>
      <c r="C68" t="s">
        <v>61</v>
      </c>
      <c r="D68" t="s">
        <v>31</v>
      </c>
      <c r="E68" t="s">
        <v>32</v>
      </c>
      <c r="F68" t="s">
        <v>33</v>
      </c>
      <c r="G68" t="s">
        <v>34</v>
      </c>
      <c r="H68" s="22">
        <v>45730</v>
      </c>
      <c r="I68">
        <v>196</v>
      </c>
      <c r="J68">
        <v>134</v>
      </c>
      <c r="K68">
        <v>800</v>
      </c>
      <c r="L68">
        <v>1200</v>
      </c>
      <c r="M68">
        <v>137</v>
      </c>
      <c r="N68">
        <v>80</v>
      </c>
      <c r="O68">
        <v>13</v>
      </c>
      <c r="P68" t="s">
        <v>22</v>
      </c>
      <c r="Q68" s="4">
        <f t="shared" si="2"/>
        <v>160800</v>
      </c>
      <c r="R68" s="4">
        <f t="shared" si="3"/>
        <v>53600</v>
      </c>
    </row>
    <row r="69" spans="1:18" x14ac:dyDescent="0.25">
      <c r="A69" t="s">
        <v>153</v>
      </c>
      <c r="B69" t="s">
        <v>37</v>
      </c>
      <c r="C69" t="s">
        <v>38</v>
      </c>
      <c r="D69" t="s">
        <v>31</v>
      </c>
      <c r="E69" t="s">
        <v>39</v>
      </c>
      <c r="F69" t="s">
        <v>71</v>
      </c>
      <c r="G69" t="s">
        <v>34</v>
      </c>
      <c r="H69" s="22">
        <v>45776</v>
      </c>
      <c r="I69">
        <v>132</v>
      </c>
      <c r="J69">
        <v>124</v>
      </c>
      <c r="K69">
        <v>8500</v>
      </c>
      <c r="L69">
        <v>11000</v>
      </c>
      <c r="M69">
        <v>204</v>
      </c>
      <c r="N69">
        <v>21</v>
      </c>
      <c r="O69">
        <v>7</v>
      </c>
      <c r="P69" t="s">
        <v>22</v>
      </c>
      <c r="Q69" s="4">
        <f t="shared" si="2"/>
        <v>1364000</v>
      </c>
      <c r="R69" s="4">
        <f t="shared" si="3"/>
        <v>310000</v>
      </c>
    </row>
    <row r="70" spans="1:18" x14ac:dyDescent="0.25">
      <c r="A70" t="s">
        <v>154</v>
      </c>
      <c r="B70" t="s">
        <v>122</v>
      </c>
      <c r="C70" t="s">
        <v>123</v>
      </c>
      <c r="D70" t="s">
        <v>31</v>
      </c>
      <c r="E70" t="s">
        <v>124</v>
      </c>
      <c r="F70" t="s">
        <v>45</v>
      </c>
      <c r="G70" t="s">
        <v>46</v>
      </c>
      <c r="H70" s="22">
        <v>45812</v>
      </c>
      <c r="I70">
        <v>191</v>
      </c>
      <c r="J70">
        <v>36</v>
      </c>
      <c r="K70">
        <v>4500</v>
      </c>
      <c r="L70">
        <v>6500</v>
      </c>
      <c r="M70">
        <v>216</v>
      </c>
      <c r="N70">
        <v>42</v>
      </c>
      <c r="O70">
        <v>14</v>
      </c>
      <c r="P70" t="s">
        <v>22</v>
      </c>
      <c r="Q70" s="4">
        <f t="shared" si="2"/>
        <v>234000</v>
      </c>
      <c r="R70" s="4">
        <f t="shared" si="3"/>
        <v>72000</v>
      </c>
    </row>
    <row r="71" spans="1:18" x14ac:dyDescent="0.25">
      <c r="A71" t="s">
        <v>155</v>
      </c>
      <c r="B71" t="s">
        <v>103</v>
      </c>
      <c r="C71" t="s">
        <v>104</v>
      </c>
      <c r="D71" t="s">
        <v>31</v>
      </c>
      <c r="E71" t="s">
        <v>32</v>
      </c>
      <c r="F71" t="s">
        <v>71</v>
      </c>
      <c r="G71" t="s">
        <v>34</v>
      </c>
      <c r="H71" s="22">
        <v>45831</v>
      </c>
      <c r="I71">
        <v>219</v>
      </c>
      <c r="J71">
        <v>101</v>
      </c>
      <c r="K71">
        <v>42000</v>
      </c>
      <c r="L71">
        <v>52000</v>
      </c>
      <c r="M71">
        <v>64</v>
      </c>
      <c r="N71">
        <v>80</v>
      </c>
      <c r="O71">
        <v>8</v>
      </c>
      <c r="P71" t="s">
        <v>51</v>
      </c>
      <c r="Q71" s="4">
        <f t="shared" si="2"/>
        <v>5252000</v>
      </c>
      <c r="R71" s="4">
        <f t="shared" si="3"/>
        <v>1010000</v>
      </c>
    </row>
    <row r="72" spans="1:18" x14ac:dyDescent="0.25">
      <c r="A72" t="s">
        <v>156</v>
      </c>
      <c r="B72" t="s">
        <v>75</v>
      </c>
      <c r="C72" t="s">
        <v>76</v>
      </c>
      <c r="D72" t="s">
        <v>31</v>
      </c>
      <c r="E72" t="s">
        <v>77</v>
      </c>
      <c r="F72" t="s">
        <v>71</v>
      </c>
      <c r="G72" t="s">
        <v>34</v>
      </c>
      <c r="H72" s="22">
        <v>45691</v>
      </c>
      <c r="I72">
        <v>105</v>
      </c>
      <c r="J72">
        <v>49</v>
      </c>
      <c r="K72">
        <v>900</v>
      </c>
      <c r="L72">
        <v>1500</v>
      </c>
      <c r="M72">
        <v>42</v>
      </c>
      <c r="N72">
        <v>43</v>
      </c>
      <c r="O72">
        <v>15</v>
      </c>
      <c r="P72" t="s">
        <v>51</v>
      </c>
      <c r="Q72" s="4">
        <f t="shared" si="2"/>
        <v>73500</v>
      </c>
      <c r="R72" s="4">
        <f t="shared" si="3"/>
        <v>29400</v>
      </c>
    </row>
    <row r="73" spans="1:18" x14ac:dyDescent="0.25">
      <c r="A73" t="s">
        <v>157</v>
      </c>
      <c r="B73" t="s">
        <v>75</v>
      </c>
      <c r="C73" t="s">
        <v>76</v>
      </c>
      <c r="D73" t="s">
        <v>31</v>
      </c>
      <c r="E73" t="s">
        <v>77</v>
      </c>
      <c r="F73" t="s">
        <v>33</v>
      </c>
      <c r="G73" t="s">
        <v>34</v>
      </c>
      <c r="H73" s="22">
        <v>45684</v>
      </c>
      <c r="I73">
        <v>218</v>
      </c>
      <c r="J73">
        <v>169</v>
      </c>
      <c r="K73">
        <v>900</v>
      </c>
      <c r="L73">
        <v>1500</v>
      </c>
      <c r="M73">
        <v>149</v>
      </c>
      <c r="N73">
        <v>60</v>
      </c>
      <c r="O73">
        <v>6</v>
      </c>
      <c r="P73" t="s">
        <v>22</v>
      </c>
      <c r="Q73" s="4">
        <f t="shared" si="2"/>
        <v>253500</v>
      </c>
      <c r="R73" s="4">
        <f t="shared" si="3"/>
        <v>101400</v>
      </c>
    </row>
    <row r="74" spans="1:18" x14ac:dyDescent="0.25">
      <c r="A74" t="s">
        <v>158</v>
      </c>
      <c r="B74" t="s">
        <v>56</v>
      </c>
      <c r="C74" t="s">
        <v>57</v>
      </c>
      <c r="D74" t="s">
        <v>26</v>
      </c>
      <c r="E74" t="s">
        <v>58</v>
      </c>
      <c r="F74" t="s">
        <v>71</v>
      </c>
      <c r="G74" t="s">
        <v>34</v>
      </c>
      <c r="H74" s="22">
        <v>45755</v>
      </c>
      <c r="I74">
        <v>202</v>
      </c>
      <c r="J74">
        <v>95</v>
      </c>
      <c r="K74">
        <v>900</v>
      </c>
      <c r="L74">
        <v>1400</v>
      </c>
      <c r="M74">
        <v>222</v>
      </c>
      <c r="N74">
        <v>76</v>
      </c>
      <c r="O74">
        <v>2</v>
      </c>
      <c r="P74" t="s">
        <v>51</v>
      </c>
      <c r="Q74" s="4">
        <f t="shared" si="2"/>
        <v>133000</v>
      </c>
      <c r="R74" s="4">
        <f t="shared" si="3"/>
        <v>47500</v>
      </c>
    </row>
    <row r="75" spans="1:18" x14ac:dyDescent="0.25">
      <c r="A75" t="s">
        <v>159</v>
      </c>
      <c r="B75" t="s">
        <v>41</v>
      </c>
      <c r="C75" t="s">
        <v>42</v>
      </c>
      <c r="D75" t="s">
        <v>43</v>
      </c>
      <c r="E75" t="s">
        <v>44</v>
      </c>
      <c r="F75" t="s">
        <v>20</v>
      </c>
      <c r="G75" t="s">
        <v>21</v>
      </c>
      <c r="H75" s="22">
        <v>45699</v>
      </c>
      <c r="I75">
        <v>17</v>
      </c>
      <c r="J75">
        <v>13</v>
      </c>
      <c r="K75" s="3">
        <v>42000</v>
      </c>
      <c r="L75">
        <v>7000</v>
      </c>
      <c r="M75">
        <v>233</v>
      </c>
      <c r="N75">
        <v>59</v>
      </c>
      <c r="O75">
        <v>6</v>
      </c>
      <c r="P75" t="s">
        <v>22</v>
      </c>
      <c r="Q75" s="4">
        <f t="shared" si="2"/>
        <v>91000</v>
      </c>
      <c r="R75" s="4">
        <f t="shared" si="3"/>
        <v>-455000</v>
      </c>
    </row>
    <row r="76" spans="1:18" x14ac:dyDescent="0.25">
      <c r="A76" t="s">
        <v>160</v>
      </c>
      <c r="B76" t="s">
        <v>88</v>
      </c>
      <c r="C76" t="s">
        <v>89</v>
      </c>
      <c r="D76" t="s">
        <v>31</v>
      </c>
      <c r="E76" t="s">
        <v>90</v>
      </c>
      <c r="F76" t="s">
        <v>33</v>
      </c>
      <c r="G76" t="s">
        <v>34</v>
      </c>
      <c r="H76" s="22">
        <v>45939</v>
      </c>
      <c r="I76">
        <v>37</v>
      </c>
      <c r="J76">
        <v>10</v>
      </c>
      <c r="K76">
        <v>1600</v>
      </c>
      <c r="L76">
        <v>2500</v>
      </c>
      <c r="M76">
        <v>244</v>
      </c>
      <c r="N76">
        <v>46</v>
      </c>
      <c r="O76">
        <v>12</v>
      </c>
      <c r="P76" t="s">
        <v>22</v>
      </c>
      <c r="Q76" s="4">
        <f t="shared" si="2"/>
        <v>25000</v>
      </c>
      <c r="R76" s="4">
        <f t="shared" si="3"/>
        <v>9000</v>
      </c>
    </row>
    <row r="77" spans="1:18" x14ac:dyDescent="0.25">
      <c r="A77" t="s">
        <v>161</v>
      </c>
      <c r="B77" t="s">
        <v>75</v>
      </c>
      <c r="C77" t="s">
        <v>76</v>
      </c>
      <c r="D77" t="s">
        <v>31</v>
      </c>
      <c r="E77" t="s">
        <v>77</v>
      </c>
      <c r="F77" t="s">
        <v>45</v>
      </c>
      <c r="G77" t="s">
        <v>46</v>
      </c>
      <c r="H77" s="22">
        <v>45700</v>
      </c>
      <c r="I77">
        <v>66</v>
      </c>
      <c r="J77">
        <v>38</v>
      </c>
      <c r="K77">
        <v>900</v>
      </c>
      <c r="L77">
        <v>1500</v>
      </c>
      <c r="M77">
        <v>250</v>
      </c>
      <c r="N77">
        <v>55</v>
      </c>
      <c r="O77">
        <v>14</v>
      </c>
      <c r="P77" t="s">
        <v>22</v>
      </c>
      <c r="Q77" s="4">
        <f t="shared" si="2"/>
        <v>57000</v>
      </c>
      <c r="R77" s="4">
        <f t="shared" si="3"/>
        <v>22800</v>
      </c>
    </row>
    <row r="78" spans="1:18" x14ac:dyDescent="0.25">
      <c r="A78" t="s">
        <v>162</v>
      </c>
      <c r="B78" t="s">
        <v>60</v>
      </c>
      <c r="C78" t="s">
        <v>61</v>
      </c>
      <c r="D78" t="s">
        <v>31</v>
      </c>
      <c r="E78" t="s">
        <v>32</v>
      </c>
      <c r="F78" t="s">
        <v>163</v>
      </c>
      <c r="G78" t="s">
        <v>21</v>
      </c>
      <c r="H78" s="22">
        <v>45914</v>
      </c>
      <c r="I78">
        <v>212</v>
      </c>
      <c r="J78">
        <v>127</v>
      </c>
      <c r="K78">
        <v>800</v>
      </c>
      <c r="L78">
        <v>1200</v>
      </c>
      <c r="M78">
        <v>115</v>
      </c>
      <c r="N78">
        <v>48</v>
      </c>
      <c r="O78">
        <v>12</v>
      </c>
      <c r="P78" t="s">
        <v>72</v>
      </c>
      <c r="Q78" s="4">
        <f t="shared" si="2"/>
        <v>152400</v>
      </c>
      <c r="R78" s="4">
        <f t="shared" si="3"/>
        <v>50800</v>
      </c>
    </row>
    <row r="79" spans="1:18" x14ac:dyDescent="0.25">
      <c r="A79" t="s">
        <v>164</v>
      </c>
      <c r="B79" t="s">
        <v>56</v>
      </c>
      <c r="C79" t="s">
        <v>57</v>
      </c>
      <c r="D79" t="s">
        <v>26</v>
      </c>
      <c r="E79" t="s">
        <v>58</v>
      </c>
      <c r="F79" t="s">
        <v>20</v>
      </c>
      <c r="G79" t="s">
        <v>21</v>
      </c>
      <c r="H79" s="22">
        <v>45938</v>
      </c>
      <c r="I79">
        <v>54</v>
      </c>
      <c r="J79">
        <v>15</v>
      </c>
      <c r="K79">
        <v>900</v>
      </c>
      <c r="L79">
        <v>1400</v>
      </c>
      <c r="M79">
        <v>49</v>
      </c>
      <c r="N79">
        <v>31</v>
      </c>
      <c r="O79">
        <v>12</v>
      </c>
      <c r="P79" t="s">
        <v>22</v>
      </c>
      <c r="Q79" s="4">
        <f t="shared" si="2"/>
        <v>21000</v>
      </c>
      <c r="R79" s="4">
        <f t="shared" si="3"/>
        <v>7500</v>
      </c>
    </row>
    <row r="80" spans="1:18" x14ac:dyDescent="0.25">
      <c r="A80" t="s">
        <v>165</v>
      </c>
      <c r="B80" t="s">
        <v>48</v>
      </c>
      <c r="C80" t="s">
        <v>49</v>
      </c>
      <c r="D80" t="s">
        <v>26</v>
      </c>
      <c r="E80" t="s">
        <v>50</v>
      </c>
      <c r="F80" t="s">
        <v>71</v>
      </c>
      <c r="G80" t="s">
        <v>34</v>
      </c>
      <c r="H80" s="22">
        <v>45790</v>
      </c>
      <c r="I80">
        <v>212</v>
      </c>
      <c r="J80">
        <v>145</v>
      </c>
      <c r="K80">
        <v>120</v>
      </c>
      <c r="L80">
        <v>250</v>
      </c>
      <c r="M80">
        <v>106</v>
      </c>
      <c r="N80">
        <v>76</v>
      </c>
      <c r="O80">
        <v>2</v>
      </c>
      <c r="P80" t="s">
        <v>51</v>
      </c>
      <c r="Q80" s="4">
        <f t="shared" si="2"/>
        <v>36250</v>
      </c>
      <c r="R80" s="4">
        <f t="shared" si="3"/>
        <v>18850</v>
      </c>
    </row>
    <row r="81" spans="1:18" x14ac:dyDescent="0.25">
      <c r="A81" t="s">
        <v>166</v>
      </c>
      <c r="B81" t="s">
        <v>68</v>
      </c>
      <c r="C81" t="s">
        <v>69</v>
      </c>
      <c r="D81" t="s">
        <v>43</v>
      </c>
      <c r="E81" t="s">
        <v>80</v>
      </c>
      <c r="F81" t="s">
        <v>45</v>
      </c>
      <c r="G81" t="s">
        <v>46</v>
      </c>
      <c r="H81" s="22">
        <v>45926</v>
      </c>
      <c r="I81">
        <v>58</v>
      </c>
      <c r="J81">
        <v>24</v>
      </c>
      <c r="K81">
        <v>650</v>
      </c>
      <c r="L81">
        <v>1000</v>
      </c>
      <c r="M81">
        <v>141</v>
      </c>
      <c r="N81">
        <v>41</v>
      </c>
      <c r="O81">
        <v>3</v>
      </c>
      <c r="P81" t="s">
        <v>22</v>
      </c>
      <c r="Q81" s="4">
        <f t="shared" si="2"/>
        <v>24000</v>
      </c>
      <c r="R81" s="4">
        <f t="shared" si="3"/>
        <v>8400</v>
      </c>
    </row>
    <row r="82" spans="1:18" x14ac:dyDescent="0.25">
      <c r="A82" t="s">
        <v>167</v>
      </c>
      <c r="B82" t="s">
        <v>106</v>
      </c>
      <c r="C82" t="s">
        <v>107</v>
      </c>
      <c r="D82" t="s">
        <v>43</v>
      </c>
      <c r="E82" t="s">
        <v>108</v>
      </c>
      <c r="F82" t="s">
        <v>20</v>
      </c>
      <c r="G82" t="s">
        <v>21</v>
      </c>
      <c r="H82" s="22">
        <v>45705</v>
      </c>
      <c r="I82">
        <v>74</v>
      </c>
      <c r="J82">
        <v>31</v>
      </c>
      <c r="K82">
        <v>5500</v>
      </c>
      <c r="L82">
        <v>7500</v>
      </c>
      <c r="M82">
        <v>199</v>
      </c>
      <c r="N82">
        <v>45</v>
      </c>
      <c r="O82">
        <v>16</v>
      </c>
      <c r="P82" t="s">
        <v>22</v>
      </c>
      <c r="Q82" s="4">
        <f t="shared" si="2"/>
        <v>232500</v>
      </c>
      <c r="R82" s="4">
        <f t="shared" si="3"/>
        <v>62000</v>
      </c>
    </row>
    <row r="83" spans="1:18" x14ac:dyDescent="0.25">
      <c r="A83" t="s">
        <v>168</v>
      </c>
      <c r="B83" t="s">
        <v>103</v>
      </c>
      <c r="C83" t="s">
        <v>104</v>
      </c>
      <c r="D83" t="s">
        <v>31</v>
      </c>
      <c r="E83" t="s">
        <v>32</v>
      </c>
      <c r="F83" t="s">
        <v>20</v>
      </c>
      <c r="G83" t="s">
        <v>21</v>
      </c>
      <c r="H83" s="22">
        <v>45674</v>
      </c>
      <c r="I83">
        <v>113</v>
      </c>
      <c r="J83">
        <v>90</v>
      </c>
      <c r="K83">
        <v>42000</v>
      </c>
      <c r="L83">
        <v>52000</v>
      </c>
      <c r="M83">
        <v>245</v>
      </c>
      <c r="N83">
        <v>57</v>
      </c>
      <c r="O83">
        <v>17</v>
      </c>
      <c r="P83" t="s">
        <v>22</v>
      </c>
      <c r="Q83" s="4">
        <f t="shared" si="2"/>
        <v>4680000</v>
      </c>
      <c r="R83" s="4">
        <f t="shared" si="3"/>
        <v>900000</v>
      </c>
    </row>
    <row r="84" spans="1:18" x14ac:dyDescent="0.25">
      <c r="A84" t="s">
        <v>169</v>
      </c>
      <c r="B84" t="s">
        <v>24</v>
      </c>
      <c r="C84" t="s">
        <v>25</v>
      </c>
      <c r="D84" t="s">
        <v>26</v>
      </c>
      <c r="E84" t="s">
        <v>27</v>
      </c>
      <c r="F84" t="s">
        <v>45</v>
      </c>
      <c r="G84" t="s">
        <v>46</v>
      </c>
      <c r="H84" s="22">
        <v>45887</v>
      </c>
      <c r="I84">
        <v>68</v>
      </c>
      <c r="J84">
        <v>13</v>
      </c>
      <c r="K84">
        <v>900</v>
      </c>
      <c r="L84">
        <v>1400</v>
      </c>
      <c r="M84">
        <v>117</v>
      </c>
      <c r="N84">
        <v>29</v>
      </c>
      <c r="O84">
        <v>6</v>
      </c>
      <c r="P84" t="s">
        <v>22</v>
      </c>
      <c r="Q84" s="4">
        <f t="shared" si="2"/>
        <v>18200</v>
      </c>
      <c r="R84" s="4">
        <f t="shared" si="3"/>
        <v>6500</v>
      </c>
    </row>
    <row r="85" spans="1:18" x14ac:dyDescent="0.25">
      <c r="A85" t="s">
        <v>170</v>
      </c>
      <c r="B85" t="s">
        <v>122</v>
      </c>
      <c r="C85" t="s">
        <v>123</v>
      </c>
      <c r="D85" t="s">
        <v>31</v>
      </c>
      <c r="E85" t="s">
        <v>124</v>
      </c>
      <c r="F85" t="s">
        <v>33</v>
      </c>
      <c r="G85" t="s">
        <v>34</v>
      </c>
      <c r="H85" s="22">
        <v>45940</v>
      </c>
      <c r="I85">
        <v>203</v>
      </c>
      <c r="J85">
        <v>10</v>
      </c>
      <c r="K85">
        <v>4500</v>
      </c>
      <c r="L85">
        <v>6500</v>
      </c>
      <c r="M85">
        <v>3</v>
      </c>
      <c r="N85">
        <v>70</v>
      </c>
      <c r="O85">
        <v>6</v>
      </c>
      <c r="P85" t="s">
        <v>22</v>
      </c>
      <c r="Q85" s="4">
        <f t="shared" si="2"/>
        <v>65000</v>
      </c>
      <c r="R85" s="4">
        <f t="shared" si="3"/>
        <v>20000</v>
      </c>
    </row>
    <row r="86" spans="1:18" x14ac:dyDescent="0.25">
      <c r="A86" t="s">
        <v>171</v>
      </c>
      <c r="B86" t="s">
        <v>63</v>
      </c>
      <c r="C86" t="s">
        <v>172</v>
      </c>
      <c r="D86" t="s">
        <v>31</v>
      </c>
      <c r="E86" t="s">
        <v>65</v>
      </c>
      <c r="F86" t="s">
        <v>20</v>
      </c>
      <c r="G86" t="s">
        <v>21</v>
      </c>
      <c r="H86" s="22">
        <v>45978</v>
      </c>
      <c r="I86">
        <v>69</v>
      </c>
      <c r="J86">
        <v>67</v>
      </c>
      <c r="K86">
        <v>1800</v>
      </c>
      <c r="L86">
        <v>2800</v>
      </c>
      <c r="M86">
        <v>226</v>
      </c>
      <c r="N86">
        <v>64</v>
      </c>
      <c r="O86">
        <v>5</v>
      </c>
      <c r="P86" t="s">
        <v>22</v>
      </c>
      <c r="Q86" s="4">
        <f t="shared" si="2"/>
        <v>187600</v>
      </c>
      <c r="R86" s="4">
        <f t="shared" si="3"/>
        <v>67000</v>
      </c>
    </row>
    <row r="87" spans="1:18" x14ac:dyDescent="0.25">
      <c r="A87" t="s">
        <v>173</v>
      </c>
      <c r="B87" t="s">
        <v>24</v>
      </c>
      <c r="C87" t="s">
        <v>25</v>
      </c>
      <c r="D87" t="s">
        <v>26</v>
      </c>
      <c r="E87" t="s">
        <v>27</v>
      </c>
      <c r="F87" t="s">
        <v>20</v>
      </c>
      <c r="G87" t="s">
        <v>21</v>
      </c>
      <c r="H87" s="22">
        <v>45856</v>
      </c>
      <c r="I87">
        <v>71</v>
      </c>
      <c r="J87">
        <v>28</v>
      </c>
      <c r="K87">
        <v>900</v>
      </c>
      <c r="L87">
        <v>1400</v>
      </c>
      <c r="M87">
        <v>3</v>
      </c>
      <c r="N87">
        <v>20</v>
      </c>
      <c r="O87">
        <v>19</v>
      </c>
      <c r="P87" t="s">
        <v>22</v>
      </c>
      <c r="Q87" s="4">
        <f t="shared" si="2"/>
        <v>39200</v>
      </c>
      <c r="R87" s="4">
        <f t="shared" si="3"/>
        <v>14000</v>
      </c>
    </row>
    <row r="88" spans="1:18" x14ac:dyDescent="0.25">
      <c r="A88" t="s">
        <v>174</v>
      </c>
      <c r="B88" t="s">
        <v>75</v>
      </c>
      <c r="C88" t="s">
        <v>76</v>
      </c>
      <c r="D88" t="s">
        <v>31</v>
      </c>
      <c r="E88" t="s">
        <v>77</v>
      </c>
      <c r="F88" t="s">
        <v>71</v>
      </c>
      <c r="G88" t="s">
        <v>34</v>
      </c>
      <c r="H88" s="22">
        <v>45988</v>
      </c>
      <c r="I88">
        <v>219</v>
      </c>
      <c r="J88">
        <v>62</v>
      </c>
      <c r="K88">
        <v>900</v>
      </c>
      <c r="L88">
        <v>1500</v>
      </c>
      <c r="M88">
        <v>246</v>
      </c>
      <c r="N88">
        <v>53</v>
      </c>
      <c r="O88">
        <v>9</v>
      </c>
      <c r="P88" t="s">
        <v>22</v>
      </c>
      <c r="Q88" s="4">
        <f t="shared" si="2"/>
        <v>93000</v>
      </c>
      <c r="R88" s="4">
        <f t="shared" si="3"/>
        <v>37200</v>
      </c>
    </row>
    <row r="89" spans="1:18" x14ac:dyDescent="0.25">
      <c r="A89" t="s">
        <v>175</v>
      </c>
      <c r="B89" t="s">
        <v>56</v>
      </c>
      <c r="C89" t="s">
        <v>57</v>
      </c>
      <c r="D89" t="s">
        <v>26</v>
      </c>
      <c r="E89" t="s">
        <v>58</v>
      </c>
      <c r="F89" t="s">
        <v>71</v>
      </c>
      <c r="G89" t="s">
        <v>34</v>
      </c>
      <c r="H89" s="22">
        <v>45686</v>
      </c>
      <c r="I89">
        <v>10</v>
      </c>
      <c r="J89">
        <v>3</v>
      </c>
      <c r="K89">
        <v>900</v>
      </c>
      <c r="L89">
        <v>1400</v>
      </c>
      <c r="M89">
        <v>258</v>
      </c>
      <c r="N89">
        <v>76</v>
      </c>
      <c r="O89">
        <v>15</v>
      </c>
      <c r="P89" t="s">
        <v>22</v>
      </c>
      <c r="Q89" s="4">
        <f t="shared" si="2"/>
        <v>4200</v>
      </c>
      <c r="R89" s="4">
        <f t="shared" si="3"/>
        <v>1500</v>
      </c>
    </row>
    <row r="90" spans="1:18" x14ac:dyDescent="0.25">
      <c r="A90" t="s">
        <v>176</v>
      </c>
      <c r="B90" t="s">
        <v>56</v>
      </c>
      <c r="C90" t="s">
        <v>57</v>
      </c>
      <c r="D90" t="s">
        <v>26</v>
      </c>
      <c r="E90" t="s">
        <v>177</v>
      </c>
      <c r="F90" t="s">
        <v>71</v>
      </c>
      <c r="G90" t="s">
        <v>34</v>
      </c>
      <c r="H90" s="22">
        <v>45774</v>
      </c>
      <c r="I90">
        <v>131</v>
      </c>
      <c r="J90">
        <v>8</v>
      </c>
      <c r="K90">
        <v>900</v>
      </c>
      <c r="L90">
        <v>1400</v>
      </c>
      <c r="M90">
        <v>176</v>
      </c>
      <c r="N90">
        <v>65</v>
      </c>
      <c r="O90">
        <v>15</v>
      </c>
      <c r="P90" t="s">
        <v>22</v>
      </c>
      <c r="Q90" s="4">
        <f t="shared" si="2"/>
        <v>11200</v>
      </c>
      <c r="R90" s="4">
        <f t="shared" si="3"/>
        <v>4000</v>
      </c>
    </row>
    <row r="91" spans="1:18" x14ac:dyDescent="0.25">
      <c r="A91" t="s">
        <v>178</v>
      </c>
      <c r="B91" t="s">
        <v>83</v>
      </c>
      <c r="C91" t="s">
        <v>84</v>
      </c>
      <c r="D91" t="s">
        <v>31</v>
      </c>
      <c r="E91" t="s">
        <v>86</v>
      </c>
      <c r="F91" t="s">
        <v>33</v>
      </c>
      <c r="G91" t="s">
        <v>34</v>
      </c>
      <c r="H91" s="22">
        <v>45807</v>
      </c>
      <c r="I91">
        <v>194</v>
      </c>
      <c r="J91">
        <v>129</v>
      </c>
      <c r="K91">
        <v>9000</v>
      </c>
      <c r="L91">
        <v>12500</v>
      </c>
      <c r="M91">
        <v>37</v>
      </c>
      <c r="N91">
        <v>33</v>
      </c>
      <c r="O91">
        <v>17</v>
      </c>
      <c r="P91" t="s">
        <v>72</v>
      </c>
      <c r="Q91" s="4">
        <f t="shared" si="2"/>
        <v>1612500</v>
      </c>
      <c r="R91" s="4">
        <f t="shared" si="3"/>
        <v>451500</v>
      </c>
    </row>
    <row r="92" spans="1:18" x14ac:dyDescent="0.25">
      <c r="A92" t="s">
        <v>179</v>
      </c>
      <c r="B92" t="s">
        <v>83</v>
      </c>
      <c r="C92" t="s">
        <v>84</v>
      </c>
      <c r="D92" t="s">
        <v>31</v>
      </c>
      <c r="E92" t="s">
        <v>86</v>
      </c>
      <c r="F92" t="s">
        <v>20</v>
      </c>
      <c r="G92" t="s">
        <v>21</v>
      </c>
      <c r="H92" s="22">
        <v>45896</v>
      </c>
      <c r="I92">
        <v>61</v>
      </c>
      <c r="J92">
        <v>16</v>
      </c>
      <c r="K92">
        <v>9000</v>
      </c>
      <c r="L92">
        <v>12500</v>
      </c>
      <c r="M92">
        <v>154</v>
      </c>
      <c r="N92">
        <v>26</v>
      </c>
      <c r="O92">
        <v>17</v>
      </c>
      <c r="P92" t="s">
        <v>22</v>
      </c>
      <c r="Q92" s="4">
        <f t="shared" si="2"/>
        <v>200000</v>
      </c>
      <c r="R92" s="4">
        <f t="shared" si="3"/>
        <v>56000</v>
      </c>
    </row>
    <row r="93" spans="1:18" x14ac:dyDescent="0.25">
      <c r="A93" t="s">
        <v>180</v>
      </c>
      <c r="B93" t="s">
        <v>88</v>
      </c>
      <c r="C93" t="s">
        <v>89</v>
      </c>
      <c r="D93" t="s">
        <v>85</v>
      </c>
      <c r="E93" t="s">
        <v>90</v>
      </c>
      <c r="F93" t="s">
        <v>45</v>
      </c>
      <c r="G93" t="s">
        <v>46</v>
      </c>
      <c r="H93" s="22">
        <v>45998</v>
      </c>
      <c r="I93">
        <v>19</v>
      </c>
      <c r="J93">
        <v>19</v>
      </c>
      <c r="K93">
        <v>1600</v>
      </c>
      <c r="L93">
        <v>2500</v>
      </c>
      <c r="M93">
        <v>77</v>
      </c>
      <c r="N93">
        <v>79</v>
      </c>
      <c r="O93">
        <v>14</v>
      </c>
      <c r="P93" t="s">
        <v>22</v>
      </c>
      <c r="Q93" s="4">
        <f t="shared" si="2"/>
        <v>47500</v>
      </c>
      <c r="R93" s="4">
        <f t="shared" si="3"/>
        <v>17100</v>
      </c>
    </row>
    <row r="94" spans="1:18" x14ac:dyDescent="0.25">
      <c r="A94" t="s">
        <v>181</v>
      </c>
      <c r="B94" t="s">
        <v>53</v>
      </c>
      <c r="C94" t="s">
        <v>54</v>
      </c>
      <c r="D94" t="s">
        <v>18</v>
      </c>
      <c r="E94" t="s">
        <v>44</v>
      </c>
      <c r="F94" t="s">
        <v>20</v>
      </c>
      <c r="G94" t="s">
        <v>21</v>
      </c>
      <c r="H94" s="22">
        <v>45870</v>
      </c>
      <c r="I94">
        <v>18</v>
      </c>
      <c r="J94">
        <v>1</v>
      </c>
      <c r="K94">
        <v>1200</v>
      </c>
      <c r="L94">
        <v>1800</v>
      </c>
      <c r="M94">
        <v>97</v>
      </c>
      <c r="N94">
        <v>45</v>
      </c>
      <c r="O94">
        <v>16</v>
      </c>
      <c r="P94" t="s">
        <v>93</v>
      </c>
      <c r="Q94" s="4">
        <f t="shared" si="2"/>
        <v>1800</v>
      </c>
      <c r="R94" s="4">
        <f t="shared" si="3"/>
        <v>600</v>
      </c>
    </row>
    <row r="95" spans="1:18" x14ac:dyDescent="0.25">
      <c r="A95" t="s">
        <v>182</v>
      </c>
      <c r="B95" t="s">
        <v>37</v>
      </c>
      <c r="C95" t="s">
        <v>38</v>
      </c>
      <c r="D95" t="s">
        <v>31</v>
      </c>
      <c r="E95" t="s">
        <v>39</v>
      </c>
      <c r="F95" t="s">
        <v>33</v>
      </c>
      <c r="G95" t="s">
        <v>34</v>
      </c>
      <c r="H95" s="22">
        <v>45742</v>
      </c>
      <c r="I95">
        <v>89</v>
      </c>
      <c r="J95">
        <v>24</v>
      </c>
      <c r="K95">
        <v>8500</v>
      </c>
      <c r="L95">
        <v>11000</v>
      </c>
      <c r="M95">
        <v>97</v>
      </c>
      <c r="N95">
        <v>61</v>
      </c>
      <c r="O95">
        <v>18</v>
      </c>
      <c r="P95" t="s">
        <v>51</v>
      </c>
      <c r="Q95" s="4">
        <f t="shared" si="2"/>
        <v>264000</v>
      </c>
      <c r="R95" s="4">
        <f t="shared" si="3"/>
        <v>60000</v>
      </c>
    </row>
    <row r="96" spans="1:18" x14ac:dyDescent="0.25">
      <c r="A96" t="s">
        <v>183</v>
      </c>
      <c r="B96" t="s">
        <v>63</v>
      </c>
      <c r="C96" t="s">
        <v>64</v>
      </c>
      <c r="D96" t="s">
        <v>31</v>
      </c>
      <c r="E96" t="s">
        <v>65</v>
      </c>
      <c r="F96" t="s">
        <v>45</v>
      </c>
      <c r="G96" t="s">
        <v>46</v>
      </c>
      <c r="H96" s="22">
        <v>45849</v>
      </c>
      <c r="I96">
        <v>89</v>
      </c>
      <c r="J96">
        <v>56</v>
      </c>
      <c r="K96">
        <v>1800</v>
      </c>
      <c r="L96">
        <v>2800</v>
      </c>
      <c r="M96">
        <v>89</v>
      </c>
      <c r="N96">
        <v>26</v>
      </c>
      <c r="O96">
        <v>2</v>
      </c>
      <c r="P96" t="s">
        <v>22</v>
      </c>
      <c r="Q96" s="4">
        <f t="shared" si="2"/>
        <v>156800</v>
      </c>
      <c r="R96" s="4">
        <f t="shared" si="3"/>
        <v>56000</v>
      </c>
    </row>
    <row r="97" spans="1:18" x14ac:dyDescent="0.25">
      <c r="A97" t="s">
        <v>184</v>
      </c>
      <c r="B97" t="s">
        <v>185</v>
      </c>
      <c r="C97" t="s">
        <v>186</v>
      </c>
      <c r="D97" t="s">
        <v>18</v>
      </c>
      <c r="E97" t="s">
        <v>19</v>
      </c>
      <c r="F97" t="s">
        <v>45</v>
      </c>
      <c r="G97" t="s">
        <v>46</v>
      </c>
      <c r="H97" s="22">
        <v>45721</v>
      </c>
      <c r="I97">
        <v>148</v>
      </c>
      <c r="J97">
        <v>53</v>
      </c>
      <c r="K97">
        <v>70</v>
      </c>
      <c r="L97">
        <v>120</v>
      </c>
      <c r="M97">
        <v>197</v>
      </c>
      <c r="N97">
        <v>42</v>
      </c>
      <c r="O97">
        <v>11</v>
      </c>
      <c r="P97" t="s">
        <v>51</v>
      </c>
      <c r="Q97" s="4">
        <f t="shared" si="2"/>
        <v>6360</v>
      </c>
      <c r="R97" s="4">
        <f t="shared" si="3"/>
        <v>2650</v>
      </c>
    </row>
    <row r="98" spans="1:18" x14ac:dyDescent="0.25">
      <c r="A98" t="s">
        <v>187</v>
      </c>
      <c r="B98" t="s">
        <v>60</v>
      </c>
      <c r="C98" t="s">
        <v>61</v>
      </c>
      <c r="D98" t="s">
        <v>31</v>
      </c>
      <c r="E98" t="s">
        <v>32</v>
      </c>
      <c r="F98" t="s">
        <v>33</v>
      </c>
      <c r="G98" t="s">
        <v>34</v>
      </c>
      <c r="H98" s="22">
        <v>46019</v>
      </c>
      <c r="I98">
        <v>126</v>
      </c>
      <c r="J98">
        <v>25</v>
      </c>
      <c r="K98">
        <v>800</v>
      </c>
      <c r="L98">
        <v>1200</v>
      </c>
      <c r="M98">
        <v>193</v>
      </c>
      <c r="N98">
        <v>54</v>
      </c>
      <c r="O98">
        <v>16</v>
      </c>
      <c r="P98" t="s">
        <v>22</v>
      </c>
      <c r="Q98" s="4">
        <f t="shared" si="2"/>
        <v>30000</v>
      </c>
      <c r="R98" s="4">
        <f t="shared" si="3"/>
        <v>10000</v>
      </c>
    </row>
    <row r="99" spans="1:18" x14ac:dyDescent="0.25">
      <c r="A99" t="s">
        <v>188</v>
      </c>
      <c r="B99" t="s">
        <v>88</v>
      </c>
      <c r="C99" t="s">
        <v>89</v>
      </c>
      <c r="D99" t="s">
        <v>31</v>
      </c>
      <c r="E99" t="s">
        <v>90</v>
      </c>
      <c r="F99" t="s">
        <v>33</v>
      </c>
      <c r="G99" t="s">
        <v>34</v>
      </c>
      <c r="H99" s="22">
        <v>45981</v>
      </c>
      <c r="I99">
        <v>110</v>
      </c>
      <c r="J99">
        <v>31</v>
      </c>
      <c r="K99">
        <v>1600</v>
      </c>
      <c r="L99">
        <v>2500</v>
      </c>
      <c r="M99">
        <v>210</v>
      </c>
      <c r="N99">
        <v>22</v>
      </c>
      <c r="O99">
        <v>14</v>
      </c>
      <c r="P99" t="s">
        <v>22</v>
      </c>
      <c r="Q99" s="4">
        <f t="shared" si="2"/>
        <v>77500</v>
      </c>
      <c r="R99" s="4">
        <f t="shared" si="3"/>
        <v>27900</v>
      </c>
    </row>
    <row r="100" spans="1:18" x14ac:dyDescent="0.25">
      <c r="A100" t="s">
        <v>189</v>
      </c>
      <c r="B100" t="s">
        <v>29</v>
      </c>
      <c r="C100" t="s">
        <v>30</v>
      </c>
      <c r="D100" t="s">
        <v>31</v>
      </c>
      <c r="E100" t="s">
        <v>32</v>
      </c>
      <c r="F100" t="s">
        <v>71</v>
      </c>
      <c r="G100" t="s">
        <v>34</v>
      </c>
      <c r="H100" s="22">
        <v>45757</v>
      </c>
      <c r="I100">
        <v>196</v>
      </c>
      <c r="J100">
        <v>16</v>
      </c>
      <c r="K100">
        <v>450</v>
      </c>
      <c r="L100">
        <v>700</v>
      </c>
      <c r="M100">
        <v>176</v>
      </c>
      <c r="N100">
        <v>43</v>
      </c>
      <c r="O100">
        <v>10</v>
      </c>
      <c r="P100" t="s">
        <v>22</v>
      </c>
      <c r="Q100" s="4">
        <f t="shared" si="2"/>
        <v>11200</v>
      </c>
      <c r="R100" s="4">
        <f t="shared" si="3"/>
        <v>4000</v>
      </c>
    </row>
    <row r="101" spans="1:18" x14ac:dyDescent="0.25">
      <c r="A101" t="s">
        <v>190</v>
      </c>
      <c r="B101" t="s">
        <v>75</v>
      </c>
      <c r="C101" t="s">
        <v>76</v>
      </c>
      <c r="D101" t="s">
        <v>31</v>
      </c>
      <c r="E101" t="s">
        <v>77</v>
      </c>
      <c r="F101" t="s">
        <v>71</v>
      </c>
      <c r="G101" t="s">
        <v>34</v>
      </c>
      <c r="H101" s="22">
        <v>45799</v>
      </c>
      <c r="I101">
        <v>81</v>
      </c>
      <c r="J101">
        <v>0</v>
      </c>
      <c r="K101">
        <v>900</v>
      </c>
      <c r="L101">
        <v>1500</v>
      </c>
      <c r="N101">
        <v>21</v>
      </c>
      <c r="O101">
        <v>9</v>
      </c>
      <c r="P101" t="s">
        <v>22</v>
      </c>
      <c r="Q101" s="4">
        <f t="shared" si="2"/>
        <v>0</v>
      </c>
      <c r="R101" s="4">
        <f t="shared" si="3"/>
        <v>0</v>
      </c>
    </row>
    <row r="102" spans="1:18" x14ac:dyDescent="0.25">
      <c r="A102" t="s">
        <v>191</v>
      </c>
      <c r="B102" t="s">
        <v>68</v>
      </c>
      <c r="C102" t="s">
        <v>69</v>
      </c>
      <c r="D102" t="s">
        <v>43</v>
      </c>
      <c r="E102" t="s">
        <v>80</v>
      </c>
      <c r="F102" t="s">
        <v>71</v>
      </c>
      <c r="G102" t="s">
        <v>34</v>
      </c>
      <c r="H102" s="22">
        <v>45878</v>
      </c>
      <c r="I102">
        <v>213</v>
      </c>
      <c r="J102">
        <v>126</v>
      </c>
      <c r="K102">
        <v>650</v>
      </c>
      <c r="L102">
        <v>1000</v>
      </c>
      <c r="M102">
        <v>70</v>
      </c>
      <c r="N102">
        <v>79</v>
      </c>
      <c r="O102">
        <v>17</v>
      </c>
      <c r="P102" t="s">
        <v>22</v>
      </c>
      <c r="Q102" s="4">
        <f t="shared" si="2"/>
        <v>126000</v>
      </c>
      <c r="R102" s="4">
        <f t="shared" si="3"/>
        <v>44100</v>
      </c>
    </row>
    <row r="103" spans="1:18" x14ac:dyDescent="0.25">
      <c r="A103" t="s">
        <v>192</v>
      </c>
      <c r="B103" t="s">
        <v>106</v>
      </c>
      <c r="C103" t="s">
        <v>107</v>
      </c>
      <c r="D103" t="s">
        <v>43</v>
      </c>
      <c r="E103" t="s">
        <v>108</v>
      </c>
      <c r="F103" t="s">
        <v>20</v>
      </c>
      <c r="G103" t="s">
        <v>21</v>
      </c>
      <c r="H103" s="22">
        <v>45825</v>
      </c>
      <c r="I103">
        <v>86</v>
      </c>
      <c r="J103">
        <v>58</v>
      </c>
      <c r="K103">
        <v>5500</v>
      </c>
      <c r="L103">
        <v>7500</v>
      </c>
      <c r="M103">
        <v>188</v>
      </c>
      <c r="N103">
        <v>70</v>
      </c>
      <c r="O103">
        <v>4</v>
      </c>
      <c r="P103" t="s">
        <v>22</v>
      </c>
      <c r="Q103" s="4">
        <f t="shared" si="2"/>
        <v>435000</v>
      </c>
      <c r="R103" s="4">
        <f t="shared" si="3"/>
        <v>116000</v>
      </c>
    </row>
    <row r="104" spans="1:18" x14ac:dyDescent="0.25">
      <c r="A104" t="s">
        <v>193</v>
      </c>
      <c r="B104" t="s">
        <v>194</v>
      </c>
      <c r="C104" t="s">
        <v>195</v>
      </c>
      <c r="D104" t="s">
        <v>43</v>
      </c>
      <c r="E104" t="s">
        <v>108</v>
      </c>
      <c r="F104" t="s">
        <v>20</v>
      </c>
      <c r="G104" t="s">
        <v>21</v>
      </c>
      <c r="H104" s="22">
        <v>45866</v>
      </c>
      <c r="I104">
        <v>21</v>
      </c>
      <c r="J104">
        <v>20</v>
      </c>
      <c r="K104">
        <v>7000</v>
      </c>
      <c r="L104">
        <v>9500</v>
      </c>
      <c r="M104">
        <v>20</v>
      </c>
      <c r="N104">
        <v>50</v>
      </c>
      <c r="O104">
        <v>19</v>
      </c>
      <c r="P104" t="s">
        <v>22</v>
      </c>
      <c r="Q104" s="4">
        <f t="shared" si="2"/>
        <v>190000</v>
      </c>
      <c r="R104" s="4">
        <f t="shared" si="3"/>
        <v>50000</v>
      </c>
    </row>
    <row r="105" spans="1:18" x14ac:dyDescent="0.25">
      <c r="A105" t="s">
        <v>196</v>
      </c>
      <c r="B105" t="s">
        <v>56</v>
      </c>
      <c r="C105" t="s">
        <v>57</v>
      </c>
      <c r="D105" t="s">
        <v>26</v>
      </c>
      <c r="E105" t="s">
        <v>58</v>
      </c>
      <c r="F105" t="s">
        <v>33</v>
      </c>
      <c r="G105" t="s">
        <v>34</v>
      </c>
      <c r="H105" s="22">
        <v>45694</v>
      </c>
      <c r="I105">
        <v>72</v>
      </c>
      <c r="J105">
        <v>10</v>
      </c>
      <c r="K105">
        <v>900</v>
      </c>
      <c r="L105">
        <v>1400</v>
      </c>
      <c r="M105">
        <v>109</v>
      </c>
      <c r="N105">
        <v>26</v>
      </c>
      <c r="O105">
        <v>15</v>
      </c>
      <c r="P105" t="s">
        <v>22</v>
      </c>
      <c r="Q105" s="4">
        <f t="shared" si="2"/>
        <v>14000</v>
      </c>
      <c r="R105" s="4">
        <f t="shared" si="3"/>
        <v>5000</v>
      </c>
    </row>
    <row r="106" spans="1:18" x14ac:dyDescent="0.25">
      <c r="A106" t="s">
        <v>197</v>
      </c>
      <c r="B106" t="s">
        <v>194</v>
      </c>
      <c r="C106" t="s">
        <v>195</v>
      </c>
      <c r="D106" t="s">
        <v>43</v>
      </c>
      <c r="E106" t="s">
        <v>108</v>
      </c>
      <c r="F106" t="s">
        <v>198</v>
      </c>
      <c r="G106" t="s">
        <v>21</v>
      </c>
      <c r="H106" s="22">
        <v>45726</v>
      </c>
      <c r="I106">
        <v>111</v>
      </c>
      <c r="J106">
        <v>58</v>
      </c>
      <c r="K106">
        <v>7000</v>
      </c>
      <c r="L106">
        <v>9500</v>
      </c>
      <c r="M106">
        <v>123</v>
      </c>
      <c r="N106">
        <v>67</v>
      </c>
      <c r="O106">
        <v>19</v>
      </c>
      <c r="P106" t="s">
        <v>93</v>
      </c>
      <c r="Q106" s="4">
        <f t="shared" si="2"/>
        <v>551000</v>
      </c>
      <c r="R106" s="4">
        <f t="shared" si="3"/>
        <v>145000</v>
      </c>
    </row>
    <row r="107" spans="1:18" x14ac:dyDescent="0.25">
      <c r="A107" t="s">
        <v>199</v>
      </c>
      <c r="B107" t="s">
        <v>63</v>
      </c>
      <c r="C107" t="s">
        <v>64</v>
      </c>
      <c r="D107" t="s">
        <v>31</v>
      </c>
      <c r="E107" t="s">
        <v>65</v>
      </c>
      <c r="F107" t="s">
        <v>71</v>
      </c>
      <c r="G107" t="s">
        <v>34</v>
      </c>
      <c r="H107" s="22">
        <v>45801</v>
      </c>
      <c r="I107">
        <v>150</v>
      </c>
      <c r="J107">
        <v>68</v>
      </c>
      <c r="K107">
        <v>1800</v>
      </c>
      <c r="L107">
        <v>2800</v>
      </c>
      <c r="M107">
        <v>193</v>
      </c>
      <c r="N107">
        <v>36</v>
      </c>
      <c r="O107">
        <v>10</v>
      </c>
      <c r="P107" t="s">
        <v>22</v>
      </c>
      <c r="Q107" s="4">
        <f t="shared" si="2"/>
        <v>190400</v>
      </c>
      <c r="R107" s="4">
        <f t="shared" si="3"/>
        <v>68000</v>
      </c>
    </row>
    <row r="108" spans="1:18" x14ac:dyDescent="0.25">
      <c r="A108" t="s">
        <v>200</v>
      </c>
      <c r="B108" t="s">
        <v>194</v>
      </c>
      <c r="C108" t="s">
        <v>195</v>
      </c>
      <c r="D108" t="s">
        <v>43</v>
      </c>
      <c r="E108" t="s">
        <v>108</v>
      </c>
      <c r="F108" t="s">
        <v>20</v>
      </c>
      <c r="G108" t="s">
        <v>21</v>
      </c>
      <c r="H108" s="22">
        <v>45662</v>
      </c>
      <c r="I108">
        <v>44</v>
      </c>
      <c r="J108">
        <v>18</v>
      </c>
      <c r="K108">
        <v>7000</v>
      </c>
      <c r="L108">
        <v>9500</v>
      </c>
      <c r="M108">
        <v>99</v>
      </c>
      <c r="N108">
        <v>40</v>
      </c>
      <c r="O108">
        <v>4</v>
      </c>
      <c r="P108" t="s">
        <v>22</v>
      </c>
      <c r="Q108" s="4">
        <f t="shared" si="2"/>
        <v>171000</v>
      </c>
      <c r="R108" s="4">
        <f t="shared" si="3"/>
        <v>45000</v>
      </c>
    </row>
    <row r="109" spans="1:18" x14ac:dyDescent="0.25">
      <c r="A109" t="s">
        <v>201</v>
      </c>
      <c r="B109" t="s">
        <v>24</v>
      </c>
      <c r="C109" t="s">
        <v>25</v>
      </c>
      <c r="D109" t="s">
        <v>26</v>
      </c>
      <c r="E109" t="s">
        <v>27</v>
      </c>
      <c r="F109" t="s">
        <v>20</v>
      </c>
      <c r="G109" t="s">
        <v>21</v>
      </c>
      <c r="H109" s="22">
        <v>45990</v>
      </c>
      <c r="I109">
        <v>211</v>
      </c>
      <c r="J109">
        <v>25</v>
      </c>
      <c r="K109">
        <v>900</v>
      </c>
      <c r="L109">
        <v>1400</v>
      </c>
      <c r="M109">
        <v>240</v>
      </c>
      <c r="N109">
        <v>22</v>
      </c>
      <c r="O109">
        <v>5</v>
      </c>
      <c r="P109" t="s">
        <v>22</v>
      </c>
      <c r="Q109" s="4">
        <f t="shared" si="2"/>
        <v>35000</v>
      </c>
      <c r="R109" s="4">
        <f t="shared" si="3"/>
        <v>12500</v>
      </c>
    </row>
    <row r="110" spans="1:18" x14ac:dyDescent="0.25">
      <c r="A110" t="s">
        <v>202</v>
      </c>
      <c r="B110" t="s">
        <v>122</v>
      </c>
      <c r="C110" t="s">
        <v>123</v>
      </c>
      <c r="D110" t="s">
        <v>31</v>
      </c>
      <c r="E110" t="s">
        <v>124</v>
      </c>
      <c r="F110" t="s">
        <v>71</v>
      </c>
      <c r="G110" t="s">
        <v>34</v>
      </c>
      <c r="H110" s="22">
        <v>45678</v>
      </c>
      <c r="I110">
        <v>80</v>
      </c>
      <c r="J110">
        <v>29</v>
      </c>
      <c r="K110">
        <v>4500</v>
      </c>
      <c r="L110">
        <v>6500</v>
      </c>
      <c r="M110">
        <v>64</v>
      </c>
      <c r="N110">
        <v>23</v>
      </c>
      <c r="O110">
        <v>8</v>
      </c>
      <c r="P110" t="s">
        <v>22</v>
      </c>
      <c r="Q110" s="4">
        <f t="shared" si="2"/>
        <v>188500</v>
      </c>
      <c r="R110" s="4">
        <f t="shared" si="3"/>
        <v>58000</v>
      </c>
    </row>
    <row r="111" spans="1:18" x14ac:dyDescent="0.25">
      <c r="A111" t="s">
        <v>203</v>
      </c>
      <c r="B111" t="s">
        <v>60</v>
      </c>
      <c r="C111" t="s">
        <v>61</v>
      </c>
      <c r="D111" t="s">
        <v>31</v>
      </c>
      <c r="E111" t="s">
        <v>32</v>
      </c>
      <c r="F111" t="s">
        <v>71</v>
      </c>
      <c r="G111" t="s">
        <v>34</v>
      </c>
      <c r="H111" s="22">
        <v>45920</v>
      </c>
      <c r="I111">
        <v>50</v>
      </c>
      <c r="J111">
        <v>28</v>
      </c>
      <c r="K111">
        <v>800</v>
      </c>
      <c r="L111">
        <v>1200</v>
      </c>
      <c r="M111">
        <v>136</v>
      </c>
      <c r="N111">
        <v>69</v>
      </c>
      <c r="O111">
        <v>2</v>
      </c>
      <c r="P111" t="s">
        <v>22</v>
      </c>
      <c r="Q111" s="4">
        <f t="shared" si="2"/>
        <v>33600</v>
      </c>
      <c r="R111" s="4">
        <f t="shared" si="3"/>
        <v>11200</v>
      </c>
    </row>
    <row r="112" spans="1:18" x14ac:dyDescent="0.25">
      <c r="A112" t="s">
        <v>204</v>
      </c>
      <c r="B112" t="s">
        <v>83</v>
      </c>
      <c r="C112" t="s">
        <v>84</v>
      </c>
      <c r="D112" t="s">
        <v>31</v>
      </c>
      <c r="E112" t="s">
        <v>86</v>
      </c>
      <c r="F112" t="s">
        <v>33</v>
      </c>
      <c r="G112" t="s">
        <v>34</v>
      </c>
      <c r="H112" s="22">
        <v>45876</v>
      </c>
      <c r="I112">
        <v>92</v>
      </c>
      <c r="J112">
        <v>18</v>
      </c>
      <c r="K112">
        <v>9000</v>
      </c>
      <c r="L112">
        <v>12500</v>
      </c>
      <c r="M112">
        <v>25</v>
      </c>
      <c r="N112">
        <v>33</v>
      </c>
      <c r="O112">
        <v>10</v>
      </c>
      <c r="P112" t="s">
        <v>22</v>
      </c>
      <c r="Q112" s="4">
        <f t="shared" si="2"/>
        <v>225000</v>
      </c>
      <c r="R112" s="4">
        <f t="shared" si="3"/>
        <v>63000</v>
      </c>
    </row>
    <row r="113" spans="1:18" x14ac:dyDescent="0.25">
      <c r="A113" t="s">
        <v>205</v>
      </c>
      <c r="B113" t="s">
        <v>103</v>
      </c>
      <c r="C113" t="s">
        <v>104</v>
      </c>
      <c r="D113" t="s">
        <v>31</v>
      </c>
      <c r="E113" t="s">
        <v>32</v>
      </c>
      <c r="F113" t="s">
        <v>71</v>
      </c>
      <c r="G113" t="s">
        <v>34</v>
      </c>
      <c r="H113" s="22">
        <v>45867</v>
      </c>
      <c r="I113">
        <v>178</v>
      </c>
      <c r="J113">
        <v>95</v>
      </c>
      <c r="K113">
        <v>42000</v>
      </c>
      <c r="L113">
        <v>52000</v>
      </c>
      <c r="M113">
        <v>97</v>
      </c>
      <c r="N113">
        <v>59</v>
      </c>
      <c r="O113">
        <v>11</v>
      </c>
      <c r="P113" t="s">
        <v>22</v>
      </c>
      <c r="Q113" s="4">
        <f t="shared" si="2"/>
        <v>4940000</v>
      </c>
      <c r="R113" s="4">
        <f t="shared" si="3"/>
        <v>950000</v>
      </c>
    </row>
    <row r="114" spans="1:18" x14ac:dyDescent="0.25">
      <c r="A114" t="s">
        <v>206</v>
      </c>
      <c r="B114" t="s">
        <v>88</v>
      </c>
      <c r="C114" t="s">
        <v>89</v>
      </c>
      <c r="D114" t="s">
        <v>31</v>
      </c>
      <c r="E114" t="s">
        <v>90</v>
      </c>
      <c r="F114" t="s">
        <v>45</v>
      </c>
      <c r="G114" t="s">
        <v>46</v>
      </c>
      <c r="H114" s="22">
        <v>45690</v>
      </c>
      <c r="I114">
        <v>109</v>
      </c>
      <c r="J114">
        <v>12</v>
      </c>
      <c r="K114">
        <v>1600</v>
      </c>
      <c r="L114">
        <v>2500</v>
      </c>
      <c r="M114">
        <v>205</v>
      </c>
      <c r="N114">
        <v>62</v>
      </c>
      <c r="O114">
        <v>19</v>
      </c>
      <c r="P114" t="s">
        <v>22</v>
      </c>
      <c r="Q114" s="4">
        <f t="shared" si="2"/>
        <v>30000</v>
      </c>
      <c r="R114" s="4">
        <f t="shared" si="3"/>
        <v>10800</v>
      </c>
    </row>
    <row r="115" spans="1:18" x14ac:dyDescent="0.25">
      <c r="A115" t="s">
        <v>207</v>
      </c>
      <c r="B115" t="s">
        <v>194</v>
      </c>
      <c r="C115" t="s">
        <v>195</v>
      </c>
      <c r="D115" t="s">
        <v>43</v>
      </c>
      <c r="E115" t="s">
        <v>108</v>
      </c>
      <c r="F115" t="s">
        <v>45</v>
      </c>
      <c r="G115" t="s">
        <v>46</v>
      </c>
      <c r="H115" s="22">
        <v>46014</v>
      </c>
      <c r="I115">
        <v>74</v>
      </c>
      <c r="J115">
        <v>52</v>
      </c>
      <c r="K115">
        <v>7000</v>
      </c>
      <c r="L115">
        <v>9500</v>
      </c>
      <c r="M115">
        <v>148</v>
      </c>
      <c r="N115">
        <v>62</v>
      </c>
      <c r="O115">
        <v>11</v>
      </c>
      <c r="P115" t="s">
        <v>22</v>
      </c>
      <c r="Q115" s="4">
        <f t="shared" si="2"/>
        <v>494000</v>
      </c>
      <c r="R115" s="4">
        <f t="shared" si="3"/>
        <v>130000</v>
      </c>
    </row>
    <row r="116" spans="1:18" x14ac:dyDescent="0.25">
      <c r="A116" t="s">
        <v>208</v>
      </c>
      <c r="B116" t="s">
        <v>63</v>
      </c>
      <c r="C116" t="s">
        <v>64</v>
      </c>
      <c r="D116" t="s">
        <v>31</v>
      </c>
      <c r="E116" t="s">
        <v>65</v>
      </c>
      <c r="F116" t="s">
        <v>71</v>
      </c>
      <c r="G116" t="s">
        <v>34</v>
      </c>
      <c r="H116" s="22">
        <v>45870</v>
      </c>
      <c r="I116">
        <v>111</v>
      </c>
      <c r="J116">
        <v>2</v>
      </c>
      <c r="K116">
        <v>1800</v>
      </c>
      <c r="L116">
        <v>2800</v>
      </c>
      <c r="M116">
        <v>189</v>
      </c>
      <c r="N116">
        <v>61</v>
      </c>
      <c r="O116">
        <v>8</v>
      </c>
      <c r="P116" t="s">
        <v>22</v>
      </c>
      <c r="Q116" s="4">
        <f t="shared" si="2"/>
        <v>5600</v>
      </c>
      <c r="R116" s="4">
        <f t="shared" si="3"/>
        <v>2000</v>
      </c>
    </row>
    <row r="117" spans="1:18" x14ac:dyDescent="0.25">
      <c r="A117" t="s">
        <v>209</v>
      </c>
      <c r="B117" t="s">
        <v>83</v>
      </c>
      <c r="C117" t="s">
        <v>84</v>
      </c>
      <c r="D117" t="s">
        <v>31</v>
      </c>
      <c r="E117" t="s">
        <v>86</v>
      </c>
      <c r="F117" t="s">
        <v>33</v>
      </c>
      <c r="G117" t="s">
        <v>34</v>
      </c>
      <c r="H117" s="22">
        <v>45880</v>
      </c>
      <c r="I117">
        <v>45</v>
      </c>
      <c r="J117">
        <v>27</v>
      </c>
      <c r="K117">
        <v>9000</v>
      </c>
      <c r="L117">
        <v>12500</v>
      </c>
      <c r="M117">
        <v>61</v>
      </c>
      <c r="N117">
        <v>72</v>
      </c>
      <c r="O117">
        <v>4</v>
      </c>
      <c r="P117" t="s">
        <v>22</v>
      </c>
      <c r="Q117" s="4">
        <f t="shared" si="2"/>
        <v>337500</v>
      </c>
      <c r="R117" s="4">
        <f t="shared" si="3"/>
        <v>94500</v>
      </c>
    </row>
    <row r="118" spans="1:18" x14ac:dyDescent="0.25">
      <c r="A118" t="s">
        <v>210</v>
      </c>
      <c r="B118" t="s">
        <v>122</v>
      </c>
      <c r="C118" t="s">
        <v>123</v>
      </c>
      <c r="D118" t="s">
        <v>31</v>
      </c>
      <c r="E118" t="s">
        <v>124</v>
      </c>
      <c r="F118" t="s">
        <v>20</v>
      </c>
      <c r="G118" t="s">
        <v>21</v>
      </c>
      <c r="H118" s="22">
        <v>45724</v>
      </c>
      <c r="I118">
        <v>8</v>
      </c>
      <c r="J118">
        <v>0</v>
      </c>
      <c r="K118">
        <v>4500</v>
      </c>
      <c r="L118">
        <v>6500</v>
      </c>
      <c r="M118">
        <v>75</v>
      </c>
      <c r="N118">
        <v>61</v>
      </c>
      <c r="O118">
        <v>14</v>
      </c>
      <c r="P118" t="s">
        <v>22</v>
      </c>
      <c r="Q118" s="4">
        <f t="shared" si="2"/>
        <v>0</v>
      </c>
      <c r="R118" s="4">
        <f t="shared" si="3"/>
        <v>0</v>
      </c>
    </row>
    <row r="119" spans="1:18" x14ac:dyDescent="0.25">
      <c r="A119" t="s">
        <v>211</v>
      </c>
      <c r="B119" t="s">
        <v>24</v>
      </c>
      <c r="C119" t="s">
        <v>25</v>
      </c>
      <c r="D119" t="s">
        <v>26</v>
      </c>
      <c r="E119" t="s">
        <v>27</v>
      </c>
      <c r="F119" t="s">
        <v>20</v>
      </c>
      <c r="G119" t="s">
        <v>21</v>
      </c>
      <c r="H119" s="22">
        <v>45732</v>
      </c>
      <c r="I119">
        <v>94</v>
      </c>
      <c r="J119">
        <v>36</v>
      </c>
      <c r="K119">
        <v>900</v>
      </c>
      <c r="L119">
        <v>1400</v>
      </c>
      <c r="M119">
        <v>85</v>
      </c>
      <c r="N119">
        <v>53</v>
      </c>
      <c r="O119">
        <v>7</v>
      </c>
      <c r="P119" t="s">
        <v>93</v>
      </c>
      <c r="Q119" s="4">
        <f t="shared" si="2"/>
        <v>50400</v>
      </c>
      <c r="R119" s="4">
        <f t="shared" si="3"/>
        <v>18000</v>
      </c>
    </row>
    <row r="120" spans="1:18" x14ac:dyDescent="0.25">
      <c r="A120" t="s">
        <v>212</v>
      </c>
      <c r="B120" t="s">
        <v>68</v>
      </c>
      <c r="C120" t="s">
        <v>69</v>
      </c>
      <c r="D120" t="s">
        <v>43</v>
      </c>
      <c r="E120" t="s">
        <v>80</v>
      </c>
      <c r="F120" t="s">
        <v>45</v>
      </c>
      <c r="G120" t="s">
        <v>46</v>
      </c>
      <c r="H120" s="22">
        <v>45759</v>
      </c>
      <c r="I120">
        <v>82</v>
      </c>
      <c r="J120">
        <v>16</v>
      </c>
      <c r="K120">
        <v>650</v>
      </c>
      <c r="L120">
        <v>1000</v>
      </c>
      <c r="M120">
        <v>25</v>
      </c>
      <c r="N120">
        <v>78</v>
      </c>
      <c r="O120">
        <v>17</v>
      </c>
      <c r="P120" t="s">
        <v>101</v>
      </c>
      <c r="Q120" s="4">
        <f t="shared" si="2"/>
        <v>16000</v>
      </c>
      <c r="R120" s="4">
        <f t="shared" si="3"/>
        <v>5600</v>
      </c>
    </row>
    <row r="121" spans="1:18" x14ac:dyDescent="0.25">
      <c r="A121" t="s">
        <v>213</v>
      </c>
      <c r="B121" t="s">
        <v>60</v>
      </c>
      <c r="C121" t="s">
        <v>61</v>
      </c>
      <c r="D121" t="s">
        <v>31</v>
      </c>
      <c r="E121" t="s">
        <v>32</v>
      </c>
      <c r="F121" t="s">
        <v>20</v>
      </c>
      <c r="G121" t="s">
        <v>21</v>
      </c>
      <c r="H121" s="22">
        <v>45985</v>
      </c>
      <c r="I121">
        <v>206</v>
      </c>
      <c r="J121">
        <v>56</v>
      </c>
      <c r="K121">
        <v>800</v>
      </c>
      <c r="L121">
        <v>1200</v>
      </c>
      <c r="M121">
        <v>210</v>
      </c>
      <c r="N121">
        <v>59</v>
      </c>
      <c r="O121">
        <v>8</v>
      </c>
      <c r="P121" t="s">
        <v>51</v>
      </c>
      <c r="Q121" s="4">
        <f t="shared" si="2"/>
        <v>67200</v>
      </c>
      <c r="R121" s="4">
        <f t="shared" si="3"/>
        <v>22400</v>
      </c>
    </row>
    <row r="122" spans="1:18" x14ac:dyDescent="0.25">
      <c r="A122" t="s">
        <v>214</v>
      </c>
      <c r="B122" t="s">
        <v>215</v>
      </c>
      <c r="C122" t="s">
        <v>216</v>
      </c>
      <c r="D122" t="s">
        <v>18</v>
      </c>
      <c r="E122" t="s">
        <v>19</v>
      </c>
      <c r="F122" t="s">
        <v>20</v>
      </c>
      <c r="G122" t="s">
        <v>21</v>
      </c>
      <c r="H122" s="22">
        <v>45679</v>
      </c>
      <c r="I122">
        <v>107</v>
      </c>
      <c r="J122">
        <v>66</v>
      </c>
      <c r="K122">
        <v>120</v>
      </c>
      <c r="L122">
        <v>200</v>
      </c>
      <c r="M122">
        <v>83</v>
      </c>
      <c r="N122">
        <v>44</v>
      </c>
      <c r="O122">
        <v>13</v>
      </c>
      <c r="P122" t="s">
        <v>22</v>
      </c>
      <c r="Q122" s="4">
        <f t="shared" si="2"/>
        <v>13200</v>
      </c>
      <c r="R122" s="4">
        <f t="shared" si="3"/>
        <v>5280</v>
      </c>
    </row>
    <row r="123" spans="1:18" x14ac:dyDescent="0.25">
      <c r="A123" t="s">
        <v>217</v>
      </c>
      <c r="B123" t="s">
        <v>83</v>
      </c>
      <c r="C123" t="s">
        <v>84</v>
      </c>
      <c r="D123" t="s">
        <v>31</v>
      </c>
      <c r="E123" t="s">
        <v>86</v>
      </c>
      <c r="F123" t="s">
        <v>33</v>
      </c>
      <c r="G123" t="s">
        <v>34</v>
      </c>
      <c r="H123" s="22">
        <v>45945</v>
      </c>
      <c r="I123">
        <v>220</v>
      </c>
      <c r="K123">
        <v>9000</v>
      </c>
      <c r="L123">
        <v>12500</v>
      </c>
      <c r="M123">
        <v>22</v>
      </c>
      <c r="N123">
        <v>62</v>
      </c>
      <c r="O123">
        <v>12</v>
      </c>
      <c r="P123" t="s">
        <v>22</v>
      </c>
      <c r="Q123" s="4">
        <f t="shared" si="2"/>
        <v>0</v>
      </c>
      <c r="R123" s="4">
        <f t="shared" si="3"/>
        <v>0</v>
      </c>
    </row>
    <row r="124" spans="1:18" x14ac:dyDescent="0.25">
      <c r="A124" t="s">
        <v>218</v>
      </c>
      <c r="B124" t="s">
        <v>41</v>
      </c>
      <c r="C124" t="s">
        <v>42</v>
      </c>
      <c r="D124" t="s">
        <v>43</v>
      </c>
      <c r="E124" t="s">
        <v>44</v>
      </c>
      <c r="F124" t="s">
        <v>71</v>
      </c>
      <c r="G124" t="s">
        <v>34</v>
      </c>
      <c r="H124" s="22">
        <v>45990</v>
      </c>
      <c r="I124">
        <v>112</v>
      </c>
      <c r="J124">
        <v>39</v>
      </c>
      <c r="K124">
        <v>5000</v>
      </c>
      <c r="L124">
        <v>7000</v>
      </c>
      <c r="M124">
        <v>130</v>
      </c>
      <c r="N124">
        <v>47</v>
      </c>
      <c r="O124">
        <v>14</v>
      </c>
      <c r="P124" t="s">
        <v>51</v>
      </c>
      <c r="Q124" s="4">
        <f t="shared" si="2"/>
        <v>273000</v>
      </c>
      <c r="R124" s="4">
        <f t="shared" si="3"/>
        <v>78000</v>
      </c>
    </row>
    <row r="125" spans="1:18" x14ac:dyDescent="0.25">
      <c r="A125" t="s">
        <v>219</v>
      </c>
      <c r="B125" t="s">
        <v>24</v>
      </c>
      <c r="C125" t="s">
        <v>25</v>
      </c>
      <c r="D125" t="s">
        <v>26</v>
      </c>
      <c r="E125" t="s">
        <v>27</v>
      </c>
      <c r="F125" t="s">
        <v>45</v>
      </c>
      <c r="G125" t="s">
        <v>46</v>
      </c>
      <c r="H125" s="22">
        <v>45749</v>
      </c>
      <c r="I125">
        <v>10</v>
      </c>
      <c r="J125">
        <v>0</v>
      </c>
      <c r="K125">
        <v>900</v>
      </c>
      <c r="L125">
        <v>1400</v>
      </c>
      <c r="M125">
        <v>253</v>
      </c>
      <c r="N125">
        <v>49</v>
      </c>
      <c r="O125">
        <v>9</v>
      </c>
      <c r="P125" t="s">
        <v>22</v>
      </c>
      <c r="Q125" s="4">
        <f t="shared" si="2"/>
        <v>0</v>
      </c>
      <c r="R125" s="4">
        <f t="shared" si="3"/>
        <v>0</v>
      </c>
    </row>
    <row r="126" spans="1:18" x14ac:dyDescent="0.25">
      <c r="A126" t="s">
        <v>220</v>
      </c>
      <c r="B126" t="s">
        <v>194</v>
      </c>
      <c r="C126" t="s">
        <v>195</v>
      </c>
      <c r="D126" t="s">
        <v>43</v>
      </c>
      <c r="E126" t="s">
        <v>108</v>
      </c>
      <c r="F126" t="s">
        <v>45</v>
      </c>
      <c r="G126" t="s">
        <v>46</v>
      </c>
      <c r="H126" s="22">
        <v>45862</v>
      </c>
      <c r="I126">
        <v>32</v>
      </c>
      <c r="J126">
        <v>4</v>
      </c>
      <c r="K126">
        <v>7000</v>
      </c>
      <c r="L126">
        <v>9500</v>
      </c>
      <c r="M126">
        <v>68</v>
      </c>
      <c r="N126">
        <v>42</v>
      </c>
      <c r="O126">
        <v>15</v>
      </c>
      <c r="P126" t="s">
        <v>22</v>
      </c>
      <c r="Q126" s="4">
        <f t="shared" si="2"/>
        <v>38000</v>
      </c>
      <c r="R126" s="4">
        <f t="shared" si="3"/>
        <v>10000</v>
      </c>
    </row>
    <row r="127" spans="1:18" x14ac:dyDescent="0.25">
      <c r="A127" t="s">
        <v>221</v>
      </c>
      <c r="B127" t="s">
        <v>24</v>
      </c>
      <c r="C127" t="s">
        <v>25</v>
      </c>
      <c r="D127" t="s">
        <v>26</v>
      </c>
      <c r="E127" t="s">
        <v>27</v>
      </c>
      <c r="F127" t="s">
        <v>33</v>
      </c>
      <c r="G127" t="s">
        <v>34</v>
      </c>
      <c r="H127" s="22">
        <v>45678</v>
      </c>
      <c r="I127">
        <v>167</v>
      </c>
      <c r="J127">
        <v>33</v>
      </c>
      <c r="K127">
        <v>900</v>
      </c>
      <c r="L127">
        <v>1400</v>
      </c>
      <c r="M127">
        <v>45</v>
      </c>
      <c r="N127">
        <v>79</v>
      </c>
      <c r="O127">
        <v>12</v>
      </c>
      <c r="P127" t="s">
        <v>51</v>
      </c>
      <c r="Q127" s="4">
        <f t="shared" si="2"/>
        <v>46200</v>
      </c>
      <c r="R127" s="4">
        <f t="shared" si="3"/>
        <v>16500</v>
      </c>
    </row>
    <row r="128" spans="1:18" x14ac:dyDescent="0.25">
      <c r="A128" t="s">
        <v>222</v>
      </c>
      <c r="B128" t="s">
        <v>29</v>
      </c>
      <c r="C128" t="s">
        <v>30</v>
      </c>
      <c r="D128" t="s">
        <v>31</v>
      </c>
      <c r="E128" t="s">
        <v>32</v>
      </c>
      <c r="F128" t="s">
        <v>45</v>
      </c>
      <c r="G128" t="s">
        <v>46</v>
      </c>
      <c r="H128" s="22">
        <v>45992</v>
      </c>
      <c r="I128">
        <v>205</v>
      </c>
      <c r="J128">
        <v>34</v>
      </c>
      <c r="K128">
        <v>450</v>
      </c>
      <c r="L128">
        <v>700</v>
      </c>
      <c r="M128">
        <v>16</v>
      </c>
      <c r="N128">
        <v>74</v>
      </c>
      <c r="O128">
        <v>4</v>
      </c>
      <c r="P128" t="s">
        <v>72</v>
      </c>
      <c r="Q128" s="4">
        <f t="shared" si="2"/>
        <v>23800</v>
      </c>
      <c r="R128" s="4">
        <f t="shared" si="3"/>
        <v>8500</v>
      </c>
    </row>
    <row r="129" spans="1:18" x14ac:dyDescent="0.25">
      <c r="A129" t="s">
        <v>223</v>
      </c>
      <c r="B129" t="s">
        <v>83</v>
      </c>
      <c r="C129" t="s">
        <v>84</v>
      </c>
      <c r="D129" t="s">
        <v>31</v>
      </c>
      <c r="E129" t="s">
        <v>86</v>
      </c>
      <c r="F129" t="s">
        <v>20</v>
      </c>
      <c r="G129" t="s">
        <v>21</v>
      </c>
      <c r="H129" s="22">
        <v>45909</v>
      </c>
      <c r="I129">
        <v>78</v>
      </c>
      <c r="J129">
        <v>21</v>
      </c>
      <c r="K129">
        <v>9000</v>
      </c>
      <c r="L129">
        <v>12500</v>
      </c>
      <c r="M129">
        <v>116</v>
      </c>
      <c r="N129">
        <v>24</v>
      </c>
      <c r="O129">
        <v>13</v>
      </c>
      <c r="P129" t="s">
        <v>22</v>
      </c>
      <c r="Q129" s="4">
        <f t="shared" si="2"/>
        <v>262500</v>
      </c>
      <c r="R129" s="4">
        <f t="shared" si="3"/>
        <v>73500</v>
      </c>
    </row>
    <row r="130" spans="1:18" x14ac:dyDescent="0.25">
      <c r="A130" t="s">
        <v>224</v>
      </c>
      <c r="B130" t="s">
        <v>194</v>
      </c>
      <c r="C130" t="s">
        <v>195</v>
      </c>
      <c r="D130" t="s">
        <v>43</v>
      </c>
      <c r="E130" t="s">
        <v>108</v>
      </c>
      <c r="F130" t="s">
        <v>71</v>
      </c>
      <c r="G130" t="s">
        <v>34</v>
      </c>
      <c r="H130" s="22">
        <v>45972</v>
      </c>
      <c r="I130">
        <v>75</v>
      </c>
      <c r="J130">
        <v>58</v>
      </c>
      <c r="K130">
        <v>7000</v>
      </c>
      <c r="L130">
        <v>9500</v>
      </c>
      <c r="M130">
        <v>76</v>
      </c>
      <c r="N130">
        <v>36</v>
      </c>
      <c r="O130">
        <v>18</v>
      </c>
      <c r="P130" t="s">
        <v>72</v>
      </c>
      <c r="Q130" s="4">
        <f t="shared" si="2"/>
        <v>551000</v>
      </c>
      <c r="R130" s="4">
        <f t="shared" si="3"/>
        <v>145000</v>
      </c>
    </row>
    <row r="131" spans="1:18" x14ac:dyDescent="0.25">
      <c r="A131" t="s">
        <v>225</v>
      </c>
      <c r="B131" t="s">
        <v>83</v>
      </c>
      <c r="C131" t="s">
        <v>84</v>
      </c>
      <c r="D131" t="s">
        <v>31</v>
      </c>
      <c r="E131" t="s">
        <v>86</v>
      </c>
      <c r="F131" t="s">
        <v>71</v>
      </c>
      <c r="G131" t="s">
        <v>34</v>
      </c>
      <c r="H131" s="22">
        <v>45973</v>
      </c>
      <c r="I131">
        <v>134</v>
      </c>
      <c r="J131">
        <v>60</v>
      </c>
      <c r="K131">
        <v>9000</v>
      </c>
      <c r="L131">
        <v>12500</v>
      </c>
      <c r="M131">
        <v>166</v>
      </c>
      <c r="N131">
        <v>43</v>
      </c>
      <c r="O131">
        <v>3</v>
      </c>
      <c r="P131" t="s">
        <v>22</v>
      </c>
      <c r="Q131" s="4">
        <f t="shared" ref="Q131:Q194" si="4">J131*L131</f>
        <v>750000</v>
      </c>
      <c r="R131" s="4">
        <f t="shared" ref="R131:R194" si="5">(L131-K131)*J131</f>
        <v>210000</v>
      </c>
    </row>
    <row r="132" spans="1:18" x14ac:dyDescent="0.25">
      <c r="A132" t="s">
        <v>226</v>
      </c>
      <c r="B132" t="s">
        <v>194</v>
      </c>
      <c r="C132" t="s">
        <v>195</v>
      </c>
      <c r="D132" t="s">
        <v>43</v>
      </c>
      <c r="E132" t="s">
        <v>108</v>
      </c>
      <c r="F132" t="s">
        <v>71</v>
      </c>
      <c r="G132" t="s">
        <v>34</v>
      </c>
      <c r="H132" s="22">
        <v>46005</v>
      </c>
      <c r="I132">
        <v>88</v>
      </c>
      <c r="J132">
        <v>48</v>
      </c>
      <c r="K132">
        <v>7000</v>
      </c>
      <c r="L132">
        <v>9500</v>
      </c>
      <c r="M132">
        <v>89</v>
      </c>
      <c r="N132">
        <v>70</v>
      </c>
      <c r="O132">
        <v>10</v>
      </c>
      <c r="P132" t="s">
        <v>22</v>
      </c>
      <c r="Q132" s="4">
        <f t="shared" si="4"/>
        <v>456000</v>
      </c>
      <c r="R132" s="4">
        <f t="shared" si="5"/>
        <v>120000</v>
      </c>
    </row>
    <row r="133" spans="1:18" x14ac:dyDescent="0.25">
      <c r="A133" t="s">
        <v>227</v>
      </c>
      <c r="B133" t="s">
        <v>185</v>
      </c>
      <c r="C133" t="s">
        <v>186</v>
      </c>
      <c r="D133" t="s">
        <v>18</v>
      </c>
      <c r="E133" t="s">
        <v>19</v>
      </c>
      <c r="F133" t="s">
        <v>45</v>
      </c>
      <c r="G133" t="s">
        <v>46</v>
      </c>
      <c r="H133" s="22">
        <v>45942</v>
      </c>
      <c r="I133">
        <v>138</v>
      </c>
      <c r="J133">
        <v>26</v>
      </c>
      <c r="K133">
        <v>70</v>
      </c>
      <c r="L133">
        <v>120</v>
      </c>
      <c r="M133">
        <v>132</v>
      </c>
      <c r="N133">
        <v>54</v>
      </c>
      <c r="O133">
        <v>14</v>
      </c>
      <c r="P133" t="s">
        <v>51</v>
      </c>
      <c r="Q133" s="4">
        <f t="shared" si="4"/>
        <v>3120</v>
      </c>
      <c r="R133" s="4">
        <f t="shared" si="5"/>
        <v>1300</v>
      </c>
    </row>
    <row r="134" spans="1:18" x14ac:dyDescent="0.25">
      <c r="A134" t="s">
        <v>228</v>
      </c>
      <c r="B134" t="s">
        <v>75</v>
      </c>
      <c r="C134" t="s">
        <v>76</v>
      </c>
      <c r="D134" t="s">
        <v>31</v>
      </c>
      <c r="E134" t="s">
        <v>77</v>
      </c>
      <c r="F134" t="s">
        <v>45</v>
      </c>
      <c r="G134" t="s">
        <v>46</v>
      </c>
      <c r="H134" s="22">
        <v>45876</v>
      </c>
      <c r="I134">
        <v>152</v>
      </c>
      <c r="J134">
        <v>37</v>
      </c>
      <c r="K134">
        <v>900</v>
      </c>
      <c r="L134">
        <v>1500</v>
      </c>
      <c r="M134">
        <v>187</v>
      </c>
      <c r="N134">
        <v>41</v>
      </c>
      <c r="O134">
        <v>4</v>
      </c>
      <c r="P134" t="s">
        <v>22</v>
      </c>
      <c r="Q134" s="4">
        <f t="shared" si="4"/>
        <v>55500</v>
      </c>
      <c r="R134" s="4">
        <f t="shared" si="5"/>
        <v>22200</v>
      </c>
    </row>
    <row r="135" spans="1:18" x14ac:dyDescent="0.25">
      <c r="A135" t="s">
        <v>229</v>
      </c>
      <c r="B135" t="s">
        <v>53</v>
      </c>
      <c r="C135" t="s">
        <v>54</v>
      </c>
      <c r="D135" t="s">
        <v>18</v>
      </c>
      <c r="E135" t="s">
        <v>44</v>
      </c>
      <c r="F135" t="s">
        <v>230</v>
      </c>
      <c r="G135" t="s">
        <v>34</v>
      </c>
      <c r="H135" s="22">
        <v>45809</v>
      </c>
      <c r="I135">
        <v>214</v>
      </c>
      <c r="J135">
        <v>132</v>
      </c>
      <c r="K135">
        <v>1200</v>
      </c>
      <c r="L135">
        <v>1800</v>
      </c>
      <c r="M135">
        <v>132</v>
      </c>
      <c r="N135">
        <v>39</v>
      </c>
      <c r="O135">
        <v>20</v>
      </c>
      <c r="P135" t="s">
        <v>93</v>
      </c>
      <c r="Q135" s="4">
        <f t="shared" si="4"/>
        <v>237600</v>
      </c>
      <c r="R135" s="4">
        <f t="shared" si="5"/>
        <v>79200</v>
      </c>
    </row>
    <row r="136" spans="1:18" x14ac:dyDescent="0.25">
      <c r="A136" t="s">
        <v>231</v>
      </c>
      <c r="B136" t="s">
        <v>103</v>
      </c>
      <c r="C136" t="s">
        <v>104</v>
      </c>
      <c r="D136" t="s">
        <v>31</v>
      </c>
      <c r="E136" t="s">
        <v>32</v>
      </c>
      <c r="F136" t="s">
        <v>33</v>
      </c>
      <c r="G136" t="s">
        <v>34</v>
      </c>
      <c r="H136" s="22">
        <v>45771</v>
      </c>
      <c r="I136">
        <v>43</v>
      </c>
      <c r="J136">
        <v>18</v>
      </c>
      <c r="K136">
        <v>42000</v>
      </c>
      <c r="L136">
        <v>52000</v>
      </c>
      <c r="M136">
        <v>224</v>
      </c>
      <c r="N136">
        <v>46</v>
      </c>
      <c r="O136">
        <v>18</v>
      </c>
      <c r="P136" t="s">
        <v>22</v>
      </c>
      <c r="Q136" s="4">
        <f t="shared" si="4"/>
        <v>936000</v>
      </c>
      <c r="R136" s="4">
        <f t="shared" si="5"/>
        <v>180000</v>
      </c>
    </row>
    <row r="137" spans="1:18" x14ac:dyDescent="0.25">
      <c r="A137" t="s">
        <v>232</v>
      </c>
      <c r="B137" t="s">
        <v>106</v>
      </c>
      <c r="C137" t="s">
        <v>107</v>
      </c>
      <c r="D137" t="s">
        <v>43</v>
      </c>
      <c r="E137" t="s">
        <v>108</v>
      </c>
      <c r="F137" t="s">
        <v>45</v>
      </c>
      <c r="G137" t="s">
        <v>46</v>
      </c>
      <c r="H137" s="22">
        <v>45774</v>
      </c>
      <c r="I137">
        <v>161</v>
      </c>
      <c r="J137">
        <v>11</v>
      </c>
      <c r="K137">
        <v>5500</v>
      </c>
      <c r="L137">
        <v>7500</v>
      </c>
      <c r="M137">
        <v>14</v>
      </c>
      <c r="N137">
        <v>23</v>
      </c>
      <c r="O137">
        <v>2</v>
      </c>
      <c r="P137" t="s">
        <v>22</v>
      </c>
      <c r="Q137" s="4">
        <f t="shared" si="4"/>
        <v>82500</v>
      </c>
      <c r="R137" s="4">
        <f t="shared" si="5"/>
        <v>22000</v>
      </c>
    </row>
    <row r="138" spans="1:18" x14ac:dyDescent="0.25">
      <c r="A138" t="s">
        <v>233</v>
      </c>
      <c r="B138" t="s">
        <v>37</v>
      </c>
      <c r="C138" t="s">
        <v>38</v>
      </c>
      <c r="D138" t="s">
        <v>31</v>
      </c>
      <c r="E138" t="s">
        <v>39</v>
      </c>
      <c r="F138" t="s">
        <v>71</v>
      </c>
      <c r="G138" t="s">
        <v>34</v>
      </c>
      <c r="H138" s="22">
        <v>45931</v>
      </c>
      <c r="I138">
        <v>62</v>
      </c>
      <c r="J138">
        <v>26</v>
      </c>
      <c r="K138">
        <v>8500</v>
      </c>
      <c r="L138">
        <v>11000</v>
      </c>
      <c r="M138">
        <v>157</v>
      </c>
      <c r="N138">
        <v>57</v>
      </c>
      <c r="O138">
        <v>6</v>
      </c>
      <c r="P138" t="s">
        <v>22</v>
      </c>
      <c r="Q138" s="4">
        <f t="shared" si="4"/>
        <v>286000</v>
      </c>
      <c r="R138" s="4">
        <f t="shared" si="5"/>
        <v>65000</v>
      </c>
    </row>
    <row r="139" spans="1:18" x14ac:dyDescent="0.25">
      <c r="A139" t="s">
        <v>234</v>
      </c>
      <c r="B139" t="s">
        <v>194</v>
      </c>
      <c r="C139" t="s">
        <v>195</v>
      </c>
      <c r="D139" t="s">
        <v>43</v>
      </c>
      <c r="E139" t="s">
        <v>108</v>
      </c>
      <c r="F139" t="s">
        <v>20</v>
      </c>
      <c r="G139" t="s">
        <v>21</v>
      </c>
      <c r="H139" s="22">
        <v>45870</v>
      </c>
      <c r="I139">
        <v>210</v>
      </c>
      <c r="J139">
        <v>62</v>
      </c>
      <c r="K139">
        <v>7000</v>
      </c>
      <c r="L139">
        <v>9500</v>
      </c>
      <c r="M139">
        <v>79</v>
      </c>
      <c r="N139">
        <v>48</v>
      </c>
      <c r="O139">
        <v>5</v>
      </c>
      <c r="P139" t="s">
        <v>22</v>
      </c>
      <c r="Q139" s="4">
        <f t="shared" si="4"/>
        <v>589000</v>
      </c>
      <c r="R139" s="4">
        <f t="shared" si="5"/>
        <v>155000</v>
      </c>
    </row>
    <row r="140" spans="1:18" x14ac:dyDescent="0.25">
      <c r="A140" t="s">
        <v>235</v>
      </c>
      <c r="B140" t="s">
        <v>75</v>
      </c>
      <c r="C140" t="s">
        <v>76</v>
      </c>
      <c r="D140" t="s">
        <v>31</v>
      </c>
      <c r="E140" t="s">
        <v>77</v>
      </c>
      <c r="F140" t="s">
        <v>45</v>
      </c>
      <c r="G140" t="s">
        <v>46</v>
      </c>
      <c r="H140" s="22">
        <v>45793</v>
      </c>
      <c r="I140">
        <v>7</v>
      </c>
      <c r="J140">
        <v>0</v>
      </c>
      <c r="K140">
        <v>900</v>
      </c>
      <c r="L140">
        <v>1500</v>
      </c>
      <c r="M140">
        <v>182</v>
      </c>
      <c r="N140">
        <v>58</v>
      </c>
      <c r="O140">
        <v>20</v>
      </c>
      <c r="P140" t="s">
        <v>22</v>
      </c>
      <c r="Q140" s="4">
        <f t="shared" si="4"/>
        <v>0</v>
      </c>
      <c r="R140" s="4">
        <f t="shared" si="5"/>
        <v>0</v>
      </c>
    </row>
    <row r="141" spans="1:18" x14ac:dyDescent="0.25">
      <c r="A141" t="s">
        <v>236</v>
      </c>
      <c r="B141" t="s">
        <v>48</v>
      </c>
      <c r="C141" t="s">
        <v>49</v>
      </c>
      <c r="D141" t="s">
        <v>26</v>
      </c>
      <c r="E141" t="s">
        <v>50</v>
      </c>
      <c r="F141" t="s">
        <v>20</v>
      </c>
      <c r="G141" t="s">
        <v>21</v>
      </c>
      <c r="H141" s="22">
        <v>45658</v>
      </c>
      <c r="I141">
        <v>16</v>
      </c>
      <c r="J141">
        <v>1</v>
      </c>
      <c r="K141">
        <v>120</v>
      </c>
      <c r="L141">
        <v>250</v>
      </c>
      <c r="M141">
        <v>275</v>
      </c>
      <c r="N141">
        <v>21</v>
      </c>
      <c r="O141">
        <v>14</v>
      </c>
      <c r="P141" t="s">
        <v>22</v>
      </c>
      <c r="Q141" s="4">
        <f t="shared" si="4"/>
        <v>250</v>
      </c>
      <c r="R141" s="4">
        <f t="shared" si="5"/>
        <v>130</v>
      </c>
    </row>
    <row r="142" spans="1:18" x14ac:dyDescent="0.25">
      <c r="A142" t="s">
        <v>237</v>
      </c>
      <c r="B142" t="s">
        <v>29</v>
      </c>
      <c r="C142" t="s">
        <v>30</v>
      </c>
      <c r="D142" t="s">
        <v>31</v>
      </c>
      <c r="E142" t="s">
        <v>32</v>
      </c>
      <c r="F142" t="s">
        <v>33</v>
      </c>
      <c r="G142" t="s">
        <v>34</v>
      </c>
      <c r="H142" s="22">
        <v>45664</v>
      </c>
      <c r="I142">
        <v>161</v>
      </c>
      <c r="J142">
        <v>141</v>
      </c>
      <c r="K142">
        <v>450</v>
      </c>
      <c r="L142">
        <v>700</v>
      </c>
      <c r="M142">
        <v>103</v>
      </c>
      <c r="N142">
        <v>29</v>
      </c>
      <c r="O142">
        <v>15</v>
      </c>
      <c r="P142" t="s">
        <v>22</v>
      </c>
      <c r="Q142" s="4">
        <f t="shared" si="4"/>
        <v>98700</v>
      </c>
      <c r="R142" s="4">
        <f t="shared" si="5"/>
        <v>35250</v>
      </c>
    </row>
    <row r="143" spans="1:18" x14ac:dyDescent="0.25">
      <c r="A143" t="s">
        <v>238</v>
      </c>
      <c r="B143" t="s">
        <v>53</v>
      </c>
      <c r="C143" t="s">
        <v>54</v>
      </c>
      <c r="D143" t="s">
        <v>18</v>
      </c>
      <c r="E143" t="s">
        <v>44</v>
      </c>
      <c r="F143" t="s">
        <v>20</v>
      </c>
      <c r="G143" t="s">
        <v>21</v>
      </c>
      <c r="H143" s="22">
        <v>45918</v>
      </c>
      <c r="I143">
        <v>84</v>
      </c>
      <c r="J143">
        <v>8</v>
      </c>
      <c r="K143">
        <v>1200</v>
      </c>
      <c r="L143">
        <v>1800</v>
      </c>
      <c r="M143">
        <v>156</v>
      </c>
      <c r="N143">
        <v>60</v>
      </c>
      <c r="O143">
        <v>3</v>
      </c>
      <c r="P143" t="s">
        <v>72</v>
      </c>
      <c r="Q143" s="4">
        <f t="shared" si="4"/>
        <v>14400</v>
      </c>
      <c r="R143" s="4">
        <f t="shared" si="5"/>
        <v>4800</v>
      </c>
    </row>
    <row r="144" spans="1:18" x14ac:dyDescent="0.25">
      <c r="A144" t="s">
        <v>239</v>
      </c>
      <c r="B144" t="s">
        <v>41</v>
      </c>
      <c r="C144" t="s">
        <v>42</v>
      </c>
      <c r="D144" t="s">
        <v>43</v>
      </c>
      <c r="E144" t="s">
        <v>44</v>
      </c>
      <c r="F144" t="s">
        <v>33</v>
      </c>
      <c r="G144" t="s">
        <v>34</v>
      </c>
      <c r="H144" s="22">
        <v>45850</v>
      </c>
      <c r="I144">
        <v>116</v>
      </c>
      <c r="J144">
        <v>95</v>
      </c>
      <c r="K144">
        <v>5000</v>
      </c>
      <c r="L144">
        <v>7000</v>
      </c>
      <c r="M144">
        <v>241</v>
      </c>
      <c r="N144">
        <v>25</v>
      </c>
      <c r="O144">
        <v>16</v>
      </c>
      <c r="P144" t="s">
        <v>22</v>
      </c>
      <c r="Q144" s="4">
        <f t="shared" si="4"/>
        <v>665000</v>
      </c>
      <c r="R144" s="4">
        <f t="shared" si="5"/>
        <v>190000</v>
      </c>
    </row>
    <row r="145" spans="1:18" x14ac:dyDescent="0.25">
      <c r="A145" t="s">
        <v>240</v>
      </c>
      <c r="B145" t="s">
        <v>75</v>
      </c>
      <c r="C145" t="s">
        <v>76</v>
      </c>
      <c r="D145" t="s">
        <v>31</v>
      </c>
      <c r="E145" t="s">
        <v>77</v>
      </c>
      <c r="F145" t="s">
        <v>20</v>
      </c>
      <c r="G145" t="s">
        <v>21</v>
      </c>
      <c r="H145" s="22">
        <v>45987</v>
      </c>
      <c r="I145">
        <v>14</v>
      </c>
      <c r="J145">
        <v>1</v>
      </c>
      <c r="K145">
        <v>900</v>
      </c>
      <c r="L145">
        <v>1500</v>
      </c>
      <c r="M145">
        <v>174</v>
      </c>
      <c r="N145">
        <v>77</v>
      </c>
      <c r="O145">
        <v>10</v>
      </c>
      <c r="P145" t="s">
        <v>51</v>
      </c>
      <c r="Q145" s="4">
        <f t="shared" si="4"/>
        <v>1500</v>
      </c>
      <c r="R145" s="4">
        <f t="shared" si="5"/>
        <v>600</v>
      </c>
    </row>
    <row r="146" spans="1:18" x14ac:dyDescent="0.25">
      <c r="A146" t="s">
        <v>241</v>
      </c>
      <c r="B146" t="s">
        <v>41</v>
      </c>
      <c r="C146" t="s">
        <v>42</v>
      </c>
      <c r="D146" t="s">
        <v>43</v>
      </c>
      <c r="E146" t="s">
        <v>44</v>
      </c>
      <c r="F146" t="s">
        <v>45</v>
      </c>
      <c r="G146" t="s">
        <v>46</v>
      </c>
      <c r="H146" s="22">
        <v>46009</v>
      </c>
      <c r="I146">
        <v>206</v>
      </c>
      <c r="J146">
        <v>133</v>
      </c>
      <c r="K146">
        <v>5000</v>
      </c>
      <c r="L146">
        <v>7000</v>
      </c>
      <c r="M146">
        <v>138</v>
      </c>
      <c r="N146">
        <v>38</v>
      </c>
      <c r="O146">
        <v>8</v>
      </c>
      <c r="P146" t="s">
        <v>22</v>
      </c>
      <c r="Q146" s="4">
        <f t="shared" si="4"/>
        <v>931000</v>
      </c>
      <c r="R146" s="4">
        <f t="shared" si="5"/>
        <v>266000</v>
      </c>
    </row>
    <row r="147" spans="1:18" x14ac:dyDescent="0.25">
      <c r="A147" t="s">
        <v>242</v>
      </c>
      <c r="B147" t="s">
        <v>194</v>
      </c>
      <c r="C147" t="s">
        <v>195</v>
      </c>
      <c r="D147" t="s">
        <v>43</v>
      </c>
      <c r="E147" t="s">
        <v>243</v>
      </c>
      <c r="F147" t="s">
        <v>71</v>
      </c>
      <c r="G147" t="s">
        <v>34</v>
      </c>
      <c r="H147" s="22">
        <v>45778</v>
      </c>
      <c r="I147">
        <v>220</v>
      </c>
      <c r="J147">
        <v>190</v>
      </c>
      <c r="K147">
        <v>7000</v>
      </c>
      <c r="L147">
        <v>9500</v>
      </c>
      <c r="M147">
        <v>106</v>
      </c>
      <c r="N147">
        <v>80</v>
      </c>
      <c r="O147">
        <v>7</v>
      </c>
      <c r="P147" t="s">
        <v>51</v>
      </c>
      <c r="Q147" s="4">
        <f t="shared" si="4"/>
        <v>1805000</v>
      </c>
      <c r="R147" s="4">
        <f t="shared" si="5"/>
        <v>475000</v>
      </c>
    </row>
    <row r="148" spans="1:18" x14ac:dyDescent="0.25">
      <c r="A148" t="s">
        <v>244</v>
      </c>
      <c r="B148" t="s">
        <v>83</v>
      </c>
      <c r="C148" t="s">
        <v>84</v>
      </c>
      <c r="D148" t="s">
        <v>31</v>
      </c>
      <c r="E148" t="s">
        <v>86</v>
      </c>
      <c r="F148" t="s">
        <v>45</v>
      </c>
      <c r="G148" t="s">
        <v>46</v>
      </c>
      <c r="H148" s="22">
        <v>45826</v>
      </c>
      <c r="I148">
        <v>158</v>
      </c>
      <c r="J148">
        <v>61</v>
      </c>
      <c r="K148">
        <v>9000</v>
      </c>
      <c r="L148">
        <v>12500</v>
      </c>
      <c r="M148">
        <v>197</v>
      </c>
      <c r="N148">
        <v>78</v>
      </c>
      <c r="O148">
        <v>19</v>
      </c>
      <c r="P148" t="s">
        <v>22</v>
      </c>
      <c r="Q148" s="4">
        <f t="shared" si="4"/>
        <v>762500</v>
      </c>
      <c r="R148" s="4">
        <f t="shared" si="5"/>
        <v>213500</v>
      </c>
    </row>
    <row r="149" spans="1:18" x14ac:dyDescent="0.25">
      <c r="A149" t="s">
        <v>245</v>
      </c>
      <c r="B149" t="s">
        <v>103</v>
      </c>
      <c r="C149" t="s">
        <v>104</v>
      </c>
      <c r="D149" t="s">
        <v>31</v>
      </c>
      <c r="E149" t="s">
        <v>32</v>
      </c>
      <c r="F149" t="s">
        <v>45</v>
      </c>
      <c r="G149" t="s">
        <v>46</v>
      </c>
      <c r="H149" s="22">
        <v>45777</v>
      </c>
      <c r="I149">
        <v>151</v>
      </c>
      <c r="J149">
        <v>78</v>
      </c>
      <c r="K149">
        <v>42000</v>
      </c>
      <c r="L149">
        <v>52000</v>
      </c>
      <c r="M149">
        <v>111</v>
      </c>
      <c r="N149">
        <v>45</v>
      </c>
      <c r="O149">
        <v>20</v>
      </c>
      <c r="P149" t="s">
        <v>22</v>
      </c>
      <c r="Q149" s="4">
        <f t="shared" si="4"/>
        <v>4056000</v>
      </c>
      <c r="R149" s="4">
        <f t="shared" si="5"/>
        <v>780000</v>
      </c>
    </row>
    <row r="150" spans="1:18" x14ac:dyDescent="0.25">
      <c r="A150" t="s">
        <v>246</v>
      </c>
      <c r="B150" t="s">
        <v>106</v>
      </c>
      <c r="C150" t="s">
        <v>107</v>
      </c>
      <c r="D150" t="s">
        <v>43</v>
      </c>
      <c r="E150" t="s">
        <v>108</v>
      </c>
      <c r="F150" t="s">
        <v>33</v>
      </c>
      <c r="G150" t="s">
        <v>34</v>
      </c>
      <c r="H150" s="22">
        <v>45671</v>
      </c>
      <c r="I150">
        <v>33</v>
      </c>
      <c r="J150">
        <v>6</v>
      </c>
      <c r="K150">
        <v>5500</v>
      </c>
      <c r="L150">
        <v>7500</v>
      </c>
      <c r="M150">
        <v>85</v>
      </c>
      <c r="N150">
        <v>42</v>
      </c>
      <c r="O150">
        <v>6</v>
      </c>
      <c r="P150" t="s">
        <v>51</v>
      </c>
      <c r="Q150" s="4">
        <f t="shared" si="4"/>
        <v>45000</v>
      </c>
      <c r="R150" s="4">
        <f t="shared" si="5"/>
        <v>12000</v>
      </c>
    </row>
    <row r="151" spans="1:18" x14ac:dyDescent="0.25">
      <c r="A151" t="s">
        <v>247</v>
      </c>
      <c r="B151" t="s">
        <v>29</v>
      </c>
      <c r="C151" t="s">
        <v>30</v>
      </c>
      <c r="D151" t="s">
        <v>31</v>
      </c>
      <c r="E151" t="s">
        <v>32</v>
      </c>
      <c r="F151" t="s">
        <v>20</v>
      </c>
      <c r="G151" t="s">
        <v>21</v>
      </c>
      <c r="H151" s="22">
        <v>46012</v>
      </c>
      <c r="I151">
        <v>169</v>
      </c>
      <c r="J151">
        <v>162</v>
      </c>
      <c r="K151">
        <v>450</v>
      </c>
      <c r="L151">
        <v>700</v>
      </c>
      <c r="M151">
        <v>24</v>
      </c>
      <c r="N151">
        <v>64</v>
      </c>
      <c r="O151">
        <v>4</v>
      </c>
      <c r="P151" t="s">
        <v>51</v>
      </c>
      <c r="Q151" s="4">
        <f t="shared" si="4"/>
        <v>113400</v>
      </c>
      <c r="R151" s="4">
        <f t="shared" si="5"/>
        <v>40500</v>
      </c>
    </row>
    <row r="152" spans="1:18" x14ac:dyDescent="0.25">
      <c r="A152" t="s">
        <v>248</v>
      </c>
      <c r="B152" t="s">
        <v>215</v>
      </c>
      <c r="C152" t="s">
        <v>216</v>
      </c>
      <c r="D152" t="s">
        <v>18</v>
      </c>
      <c r="E152" t="s">
        <v>19</v>
      </c>
      <c r="F152" t="s">
        <v>71</v>
      </c>
      <c r="G152" t="s">
        <v>34</v>
      </c>
      <c r="H152" s="22">
        <v>45760</v>
      </c>
      <c r="I152">
        <v>214</v>
      </c>
      <c r="J152">
        <v>209</v>
      </c>
      <c r="K152">
        <v>120</v>
      </c>
      <c r="L152">
        <v>200</v>
      </c>
      <c r="M152">
        <v>276</v>
      </c>
      <c r="N152">
        <v>77</v>
      </c>
      <c r="O152">
        <v>4</v>
      </c>
      <c r="P152" t="s">
        <v>93</v>
      </c>
      <c r="Q152" s="4">
        <f t="shared" si="4"/>
        <v>41800</v>
      </c>
      <c r="R152" s="4">
        <f t="shared" si="5"/>
        <v>16720</v>
      </c>
    </row>
    <row r="153" spans="1:18" x14ac:dyDescent="0.25">
      <c r="A153" t="s">
        <v>249</v>
      </c>
      <c r="B153" t="s">
        <v>37</v>
      </c>
      <c r="C153" t="s">
        <v>38</v>
      </c>
      <c r="D153" t="s">
        <v>31</v>
      </c>
      <c r="E153" t="s">
        <v>39</v>
      </c>
      <c r="F153" t="s">
        <v>20</v>
      </c>
      <c r="G153" t="s">
        <v>21</v>
      </c>
      <c r="H153" s="22">
        <v>45763</v>
      </c>
      <c r="I153">
        <v>57</v>
      </c>
      <c r="J153">
        <v>7</v>
      </c>
      <c r="K153">
        <v>8500</v>
      </c>
      <c r="L153">
        <v>11000</v>
      </c>
      <c r="M153">
        <v>20</v>
      </c>
      <c r="N153">
        <v>22</v>
      </c>
      <c r="O153">
        <v>4</v>
      </c>
      <c r="P153" t="s">
        <v>51</v>
      </c>
      <c r="Q153" s="4">
        <f t="shared" si="4"/>
        <v>77000</v>
      </c>
      <c r="R153" s="4">
        <f t="shared" si="5"/>
        <v>17500</v>
      </c>
    </row>
    <row r="154" spans="1:18" x14ac:dyDescent="0.25">
      <c r="A154" t="s">
        <v>250</v>
      </c>
      <c r="B154" t="s">
        <v>88</v>
      </c>
      <c r="C154" t="s">
        <v>89</v>
      </c>
      <c r="D154" t="s">
        <v>31</v>
      </c>
      <c r="E154" t="s">
        <v>90</v>
      </c>
      <c r="F154" t="s">
        <v>33</v>
      </c>
      <c r="G154" t="s">
        <v>34</v>
      </c>
      <c r="H154" s="22">
        <v>45725</v>
      </c>
      <c r="I154">
        <v>30</v>
      </c>
      <c r="J154">
        <v>25</v>
      </c>
      <c r="K154">
        <v>1600</v>
      </c>
      <c r="L154">
        <v>2500</v>
      </c>
      <c r="M154">
        <v>107</v>
      </c>
      <c r="N154">
        <v>38</v>
      </c>
      <c r="O154">
        <v>12</v>
      </c>
      <c r="P154" t="s">
        <v>22</v>
      </c>
      <c r="Q154" s="4">
        <f t="shared" si="4"/>
        <v>62500</v>
      </c>
      <c r="R154" s="4">
        <f t="shared" si="5"/>
        <v>22500</v>
      </c>
    </row>
    <row r="155" spans="1:18" x14ac:dyDescent="0.25">
      <c r="A155" t="s">
        <v>251</v>
      </c>
      <c r="B155" t="s">
        <v>103</v>
      </c>
      <c r="C155" t="s">
        <v>104</v>
      </c>
      <c r="D155" t="s">
        <v>31</v>
      </c>
      <c r="E155" t="s">
        <v>32</v>
      </c>
      <c r="F155" t="s">
        <v>71</v>
      </c>
      <c r="G155" t="s">
        <v>34</v>
      </c>
      <c r="H155" s="22">
        <v>45789</v>
      </c>
      <c r="I155">
        <v>77</v>
      </c>
      <c r="J155">
        <v>6</v>
      </c>
      <c r="K155">
        <v>42000</v>
      </c>
      <c r="L155">
        <v>52000</v>
      </c>
      <c r="M155">
        <v>191</v>
      </c>
      <c r="N155">
        <v>78</v>
      </c>
      <c r="O155">
        <v>12</v>
      </c>
      <c r="P155" t="s">
        <v>51</v>
      </c>
      <c r="Q155" s="4">
        <f t="shared" si="4"/>
        <v>312000</v>
      </c>
      <c r="R155" s="4">
        <f t="shared" si="5"/>
        <v>60000</v>
      </c>
    </row>
    <row r="156" spans="1:18" x14ac:dyDescent="0.25">
      <c r="A156" t="s">
        <v>252</v>
      </c>
      <c r="B156" t="s">
        <v>63</v>
      </c>
      <c r="C156" t="s">
        <v>64</v>
      </c>
      <c r="D156" t="s">
        <v>31</v>
      </c>
      <c r="E156" t="s">
        <v>65</v>
      </c>
      <c r="F156" t="s">
        <v>33</v>
      </c>
      <c r="G156" t="s">
        <v>34</v>
      </c>
      <c r="H156" s="22">
        <v>45869</v>
      </c>
      <c r="I156">
        <v>12</v>
      </c>
      <c r="J156">
        <v>6</v>
      </c>
      <c r="K156">
        <v>1800</v>
      </c>
      <c r="L156">
        <v>2800</v>
      </c>
      <c r="M156">
        <v>268</v>
      </c>
      <c r="N156">
        <v>69</v>
      </c>
      <c r="O156">
        <v>5</v>
      </c>
      <c r="P156" t="s">
        <v>22</v>
      </c>
      <c r="Q156" s="4">
        <f t="shared" si="4"/>
        <v>16800</v>
      </c>
      <c r="R156" s="4">
        <f t="shared" si="5"/>
        <v>6000</v>
      </c>
    </row>
    <row r="157" spans="1:18" x14ac:dyDescent="0.25">
      <c r="A157" t="s">
        <v>253</v>
      </c>
      <c r="B157" t="s">
        <v>41</v>
      </c>
      <c r="C157" t="s">
        <v>42</v>
      </c>
      <c r="D157" t="s">
        <v>43</v>
      </c>
      <c r="E157" t="s">
        <v>44</v>
      </c>
      <c r="F157" t="s">
        <v>20</v>
      </c>
      <c r="G157" t="s">
        <v>21</v>
      </c>
      <c r="H157" s="22">
        <v>45704</v>
      </c>
      <c r="I157">
        <v>152</v>
      </c>
      <c r="J157">
        <v>73</v>
      </c>
      <c r="K157">
        <v>5000</v>
      </c>
      <c r="L157">
        <v>7000</v>
      </c>
      <c r="M157">
        <v>90</v>
      </c>
      <c r="N157">
        <v>47</v>
      </c>
      <c r="O157">
        <v>2</v>
      </c>
      <c r="P157" t="s">
        <v>22</v>
      </c>
      <c r="Q157" s="4">
        <f t="shared" si="4"/>
        <v>511000</v>
      </c>
      <c r="R157" s="4">
        <f t="shared" si="5"/>
        <v>146000</v>
      </c>
    </row>
    <row r="158" spans="1:18" x14ac:dyDescent="0.25">
      <c r="A158" t="s">
        <v>254</v>
      </c>
      <c r="B158" t="s">
        <v>29</v>
      </c>
      <c r="C158" t="s">
        <v>30</v>
      </c>
      <c r="D158" t="s">
        <v>85</v>
      </c>
      <c r="E158" t="s">
        <v>32</v>
      </c>
      <c r="F158" t="s">
        <v>33</v>
      </c>
      <c r="G158" t="s">
        <v>34</v>
      </c>
      <c r="H158" s="22">
        <v>45836</v>
      </c>
      <c r="I158">
        <v>130</v>
      </c>
      <c r="J158">
        <v>24</v>
      </c>
      <c r="K158">
        <v>450</v>
      </c>
      <c r="L158">
        <v>700</v>
      </c>
      <c r="M158">
        <v>254</v>
      </c>
      <c r="N158">
        <v>64</v>
      </c>
      <c r="O158">
        <v>7</v>
      </c>
      <c r="P158" t="s">
        <v>72</v>
      </c>
      <c r="Q158" s="4">
        <f t="shared" si="4"/>
        <v>16800</v>
      </c>
      <c r="R158" s="4">
        <f t="shared" si="5"/>
        <v>6000</v>
      </c>
    </row>
    <row r="159" spans="1:18" x14ac:dyDescent="0.25">
      <c r="A159" t="s">
        <v>255</v>
      </c>
      <c r="B159" t="s">
        <v>24</v>
      </c>
      <c r="C159" t="s">
        <v>25</v>
      </c>
      <c r="D159" t="s">
        <v>26</v>
      </c>
      <c r="E159" t="s">
        <v>27</v>
      </c>
      <c r="F159" t="s">
        <v>71</v>
      </c>
      <c r="G159" t="s">
        <v>34</v>
      </c>
      <c r="H159" s="22">
        <v>45953</v>
      </c>
      <c r="I159">
        <v>45</v>
      </c>
      <c r="J159">
        <v>18</v>
      </c>
      <c r="K159">
        <v>900</v>
      </c>
      <c r="L159">
        <v>1400</v>
      </c>
      <c r="M159">
        <v>112</v>
      </c>
      <c r="N159">
        <v>80</v>
      </c>
      <c r="O159">
        <v>9</v>
      </c>
      <c r="P159" t="s">
        <v>22</v>
      </c>
      <c r="Q159" s="4">
        <f t="shared" si="4"/>
        <v>25200</v>
      </c>
      <c r="R159" s="4">
        <f t="shared" si="5"/>
        <v>9000</v>
      </c>
    </row>
    <row r="160" spans="1:18" x14ac:dyDescent="0.25">
      <c r="A160" t="s">
        <v>256</v>
      </c>
      <c r="B160" t="s">
        <v>60</v>
      </c>
      <c r="C160" t="s">
        <v>61</v>
      </c>
      <c r="D160" t="s">
        <v>31</v>
      </c>
      <c r="E160" t="s">
        <v>32</v>
      </c>
      <c r="F160" t="s">
        <v>45</v>
      </c>
      <c r="G160" t="s">
        <v>46</v>
      </c>
      <c r="H160" s="22">
        <v>46014</v>
      </c>
      <c r="I160">
        <v>148</v>
      </c>
      <c r="J160">
        <v>26</v>
      </c>
      <c r="K160">
        <v>800</v>
      </c>
      <c r="L160">
        <v>1200</v>
      </c>
      <c r="M160">
        <v>170</v>
      </c>
      <c r="N160">
        <v>42</v>
      </c>
      <c r="O160">
        <v>5</v>
      </c>
      <c r="P160" t="s">
        <v>22</v>
      </c>
      <c r="Q160" s="4">
        <f t="shared" si="4"/>
        <v>31200</v>
      </c>
      <c r="R160" s="4">
        <f t="shared" si="5"/>
        <v>10400</v>
      </c>
    </row>
    <row r="161" spans="1:18" x14ac:dyDescent="0.25">
      <c r="A161" t="s">
        <v>257</v>
      </c>
      <c r="B161" t="s">
        <v>60</v>
      </c>
      <c r="C161" t="s">
        <v>61</v>
      </c>
      <c r="D161" t="s">
        <v>31</v>
      </c>
      <c r="E161" t="s">
        <v>32</v>
      </c>
      <c r="F161" t="s">
        <v>45</v>
      </c>
      <c r="G161" t="s">
        <v>46</v>
      </c>
      <c r="H161" s="22">
        <v>45988</v>
      </c>
      <c r="I161">
        <v>11</v>
      </c>
      <c r="J161">
        <v>5</v>
      </c>
      <c r="K161">
        <v>800</v>
      </c>
      <c r="L161">
        <v>1200</v>
      </c>
      <c r="M161">
        <v>108</v>
      </c>
      <c r="N161">
        <v>39</v>
      </c>
      <c r="O161">
        <v>10</v>
      </c>
      <c r="P161" t="s">
        <v>22</v>
      </c>
      <c r="Q161" s="4">
        <f t="shared" si="4"/>
        <v>6000</v>
      </c>
      <c r="R161" s="4">
        <f t="shared" si="5"/>
        <v>2000</v>
      </c>
    </row>
    <row r="162" spans="1:18" x14ac:dyDescent="0.25">
      <c r="A162" t="s">
        <v>258</v>
      </c>
      <c r="B162" t="s">
        <v>68</v>
      </c>
      <c r="C162" t="s">
        <v>69</v>
      </c>
      <c r="D162" t="s">
        <v>43</v>
      </c>
      <c r="E162" t="s">
        <v>80</v>
      </c>
      <c r="F162" t="s">
        <v>20</v>
      </c>
      <c r="G162" t="s">
        <v>21</v>
      </c>
      <c r="H162" s="22">
        <v>45893</v>
      </c>
      <c r="I162">
        <v>37</v>
      </c>
      <c r="J162">
        <v>34</v>
      </c>
      <c r="K162">
        <v>650</v>
      </c>
      <c r="L162">
        <v>1000</v>
      </c>
      <c r="M162">
        <v>20</v>
      </c>
      <c r="N162">
        <v>42</v>
      </c>
      <c r="O162">
        <v>20</v>
      </c>
      <c r="P162" t="s">
        <v>22</v>
      </c>
      <c r="Q162" s="4">
        <f t="shared" si="4"/>
        <v>34000</v>
      </c>
      <c r="R162" s="4">
        <f t="shared" si="5"/>
        <v>11900</v>
      </c>
    </row>
    <row r="163" spans="1:18" x14ac:dyDescent="0.25">
      <c r="A163" t="s">
        <v>259</v>
      </c>
      <c r="B163" t="s">
        <v>122</v>
      </c>
      <c r="C163" t="s">
        <v>123</v>
      </c>
      <c r="D163" t="s">
        <v>31</v>
      </c>
      <c r="E163" t="s">
        <v>124</v>
      </c>
      <c r="F163" t="s">
        <v>71</v>
      </c>
      <c r="G163" t="s">
        <v>34</v>
      </c>
      <c r="H163" s="22">
        <v>45744</v>
      </c>
      <c r="I163">
        <v>123</v>
      </c>
      <c r="J163">
        <v>56</v>
      </c>
      <c r="K163">
        <v>4500</v>
      </c>
      <c r="L163">
        <v>6500</v>
      </c>
      <c r="M163">
        <v>134</v>
      </c>
      <c r="N163">
        <v>57</v>
      </c>
      <c r="O163">
        <v>9</v>
      </c>
      <c r="P163" t="s">
        <v>22</v>
      </c>
      <c r="Q163" s="4">
        <f t="shared" si="4"/>
        <v>364000</v>
      </c>
      <c r="R163" s="4">
        <f t="shared" si="5"/>
        <v>112000</v>
      </c>
    </row>
    <row r="164" spans="1:18" x14ac:dyDescent="0.25">
      <c r="A164" t="s">
        <v>260</v>
      </c>
      <c r="B164" t="s">
        <v>48</v>
      </c>
      <c r="C164" t="s">
        <v>49</v>
      </c>
      <c r="D164" t="s">
        <v>26</v>
      </c>
      <c r="E164" t="s">
        <v>50</v>
      </c>
      <c r="F164" t="s">
        <v>20</v>
      </c>
      <c r="G164" t="s">
        <v>21</v>
      </c>
      <c r="H164" s="22">
        <v>45794</v>
      </c>
      <c r="I164">
        <v>82</v>
      </c>
      <c r="J164">
        <v>79</v>
      </c>
      <c r="K164">
        <v>120</v>
      </c>
      <c r="L164">
        <v>250</v>
      </c>
      <c r="M164">
        <v>82</v>
      </c>
      <c r="N164">
        <v>66</v>
      </c>
      <c r="O164">
        <v>6</v>
      </c>
      <c r="P164" t="s">
        <v>140</v>
      </c>
      <c r="Q164" s="4">
        <f t="shared" si="4"/>
        <v>19750</v>
      </c>
      <c r="R164" s="4">
        <f t="shared" si="5"/>
        <v>10270</v>
      </c>
    </row>
    <row r="165" spans="1:18" x14ac:dyDescent="0.25">
      <c r="A165" t="s">
        <v>261</v>
      </c>
      <c r="B165" t="s">
        <v>53</v>
      </c>
      <c r="C165" t="s">
        <v>54</v>
      </c>
      <c r="D165" t="s">
        <v>18</v>
      </c>
      <c r="E165" t="s">
        <v>44</v>
      </c>
      <c r="F165" t="s">
        <v>71</v>
      </c>
      <c r="G165" t="s">
        <v>34</v>
      </c>
      <c r="H165" s="22">
        <v>45740</v>
      </c>
      <c r="I165">
        <v>65</v>
      </c>
      <c r="J165">
        <v>41</v>
      </c>
      <c r="K165">
        <v>1200</v>
      </c>
      <c r="L165">
        <v>1800</v>
      </c>
      <c r="M165">
        <v>99</v>
      </c>
      <c r="N165">
        <v>36</v>
      </c>
      <c r="O165">
        <v>5</v>
      </c>
      <c r="P165" t="s">
        <v>22</v>
      </c>
      <c r="Q165" s="4">
        <f t="shared" si="4"/>
        <v>73800</v>
      </c>
      <c r="R165" s="4">
        <f t="shared" si="5"/>
        <v>24600</v>
      </c>
    </row>
    <row r="166" spans="1:18" x14ac:dyDescent="0.25">
      <c r="A166" t="s">
        <v>262</v>
      </c>
      <c r="B166" t="s">
        <v>83</v>
      </c>
      <c r="C166" t="s">
        <v>84</v>
      </c>
      <c r="D166" t="s">
        <v>31</v>
      </c>
      <c r="E166" t="s">
        <v>86</v>
      </c>
      <c r="F166" t="s">
        <v>45</v>
      </c>
      <c r="G166" t="s">
        <v>46</v>
      </c>
      <c r="H166" s="22">
        <v>45735</v>
      </c>
      <c r="I166">
        <v>42</v>
      </c>
      <c r="J166">
        <v>19</v>
      </c>
      <c r="K166">
        <v>9000</v>
      </c>
      <c r="L166">
        <v>12500</v>
      </c>
      <c r="M166">
        <v>155</v>
      </c>
      <c r="N166">
        <v>47</v>
      </c>
      <c r="O166">
        <v>10</v>
      </c>
      <c r="P166" t="s">
        <v>22</v>
      </c>
      <c r="Q166" s="4">
        <f t="shared" si="4"/>
        <v>237500</v>
      </c>
      <c r="R166" s="4">
        <f t="shared" si="5"/>
        <v>66500</v>
      </c>
    </row>
    <row r="167" spans="1:18" x14ac:dyDescent="0.25">
      <c r="A167" t="s">
        <v>263</v>
      </c>
      <c r="B167" t="s">
        <v>75</v>
      </c>
      <c r="C167" t="s">
        <v>76</v>
      </c>
      <c r="D167" t="s">
        <v>31</v>
      </c>
      <c r="E167" t="s">
        <v>77</v>
      </c>
      <c r="F167" t="s">
        <v>20</v>
      </c>
      <c r="G167" t="s">
        <v>21</v>
      </c>
      <c r="H167" s="22">
        <v>45856</v>
      </c>
      <c r="I167">
        <v>123</v>
      </c>
      <c r="J167">
        <v>4</v>
      </c>
      <c r="K167">
        <v>900</v>
      </c>
      <c r="L167">
        <v>1500</v>
      </c>
      <c r="M167">
        <v>9</v>
      </c>
      <c r="N167">
        <v>45</v>
      </c>
      <c r="O167">
        <v>15</v>
      </c>
      <c r="P167" t="s">
        <v>51</v>
      </c>
      <c r="Q167" s="4">
        <f t="shared" si="4"/>
        <v>6000</v>
      </c>
      <c r="R167" s="4">
        <f t="shared" si="5"/>
        <v>2400</v>
      </c>
    </row>
    <row r="168" spans="1:18" x14ac:dyDescent="0.25">
      <c r="A168" t="s">
        <v>264</v>
      </c>
      <c r="B168" t="s">
        <v>122</v>
      </c>
      <c r="C168" t="s">
        <v>123</v>
      </c>
      <c r="D168" t="s">
        <v>31</v>
      </c>
      <c r="E168" t="s">
        <v>124</v>
      </c>
      <c r="F168" t="s">
        <v>33</v>
      </c>
      <c r="G168" t="s">
        <v>34</v>
      </c>
      <c r="H168" s="22">
        <v>45730</v>
      </c>
      <c r="I168">
        <v>70</v>
      </c>
      <c r="J168">
        <v>51</v>
      </c>
      <c r="K168">
        <v>4500</v>
      </c>
      <c r="L168">
        <v>6500</v>
      </c>
      <c r="M168">
        <v>5</v>
      </c>
      <c r="N168">
        <v>67</v>
      </c>
      <c r="O168">
        <v>9</v>
      </c>
      <c r="P168" t="s">
        <v>93</v>
      </c>
      <c r="Q168" s="4">
        <f t="shared" si="4"/>
        <v>331500</v>
      </c>
      <c r="R168" s="4">
        <f t="shared" si="5"/>
        <v>102000</v>
      </c>
    </row>
    <row r="169" spans="1:18" x14ac:dyDescent="0.25">
      <c r="A169" t="s">
        <v>265</v>
      </c>
      <c r="B169" t="s">
        <v>215</v>
      </c>
      <c r="C169" t="s">
        <v>216</v>
      </c>
      <c r="D169" t="s">
        <v>18</v>
      </c>
      <c r="E169" t="s">
        <v>19</v>
      </c>
      <c r="F169" t="s">
        <v>45</v>
      </c>
      <c r="G169" t="s">
        <v>46</v>
      </c>
      <c r="H169" s="22">
        <v>45775</v>
      </c>
      <c r="I169">
        <v>175</v>
      </c>
      <c r="J169">
        <v>167</v>
      </c>
      <c r="K169">
        <v>120</v>
      </c>
      <c r="L169">
        <v>200</v>
      </c>
      <c r="M169">
        <v>120</v>
      </c>
      <c r="N169">
        <v>63</v>
      </c>
      <c r="O169">
        <v>7</v>
      </c>
      <c r="P169" t="s">
        <v>22</v>
      </c>
      <c r="Q169" s="4">
        <f t="shared" si="4"/>
        <v>33400</v>
      </c>
      <c r="R169" s="4">
        <f t="shared" si="5"/>
        <v>13360</v>
      </c>
    </row>
    <row r="170" spans="1:18" x14ac:dyDescent="0.25">
      <c r="A170" t="s">
        <v>266</v>
      </c>
      <c r="B170" t="s">
        <v>56</v>
      </c>
      <c r="C170" t="s">
        <v>57</v>
      </c>
      <c r="D170" t="s">
        <v>26</v>
      </c>
      <c r="E170" t="s">
        <v>58</v>
      </c>
      <c r="F170" t="s">
        <v>71</v>
      </c>
      <c r="G170" t="s">
        <v>34</v>
      </c>
      <c r="H170" s="22">
        <v>45791</v>
      </c>
      <c r="I170">
        <v>165</v>
      </c>
      <c r="J170">
        <v>25</v>
      </c>
      <c r="K170">
        <v>900</v>
      </c>
      <c r="L170">
        <v>1400</v>
      </c>
      <c r="M170">
        <v>217</v>
      </c>
      <c r="N170">
        <v>35</v>
      </c>
      <c r="O170">
        <v>14</v>
      </c>
      <c r="P170" t="s">
        <v>51</v>
      </c>
      <c r="Q170" s="4">
        <f t="shared" si="4"/>
        <v>35000</v>
      </c>
      <c r="R170" s="4">
        <f t="shared" si="5"/>
        <v>12500</v>
      </c>
    </row>
    <row r="171" spans="1:18" x14ac:dyDescent="0.25">
      <c r="A171" t="s">
        <v>267</v>
      </c>
      <c r="B171" t="s">
        <v>75</v>
      </c>
      <c r="C171" t="s">
        <v>76</v>
      </c>
      <c r="D171" t="s">
        <v>31</v>
      </c>
      <c r="E171" t="s">
        <v>77</v>
      </c>
      <c r="F171" t="s">
        <v>45</v>
      </c>
      <c r="G171" t="s">
        <v>46</v>
      </c>
      <c r="H171" s="22">
        <v>45905</v>
      </c>
      <c r="I171">
        <v>121</v>
      </c>
      <c r="J171">
        <v>2</v>
      </c>
      <c r="K171">
        <v>900</v>
      </c>
      <c r="L171">
        <v>1500</v>
      </c>
      <c r="M171">
        <v>212</v>
      </c>
      <c r="N171">
        <v>53</v>
      </c>
      <c r="O171">
        <v>7</v>
      </c>
      <c r="P171" t="s">
        <v>93</v>
      </c>
      <c r="Q171" s="4">
        <f t="shared" si="4"/>
        <v>3000</v>
      </c>
      <c r="R171" s="4">
        <f t="shared" si="5"/>
        <v>1200</v>
      </c>
    </row>
    <row r="172" spans="1:18" x14ac:dyDescent="0.25">
      <c r="A172" t="s">
        <v>268</v>
      </c>
      <c r="B172" t="s">
        <v>103</v>
      </c>
      <c r="C172" t="s">
        <v>104</v>
      </c>
      <c r="D172" t="s">
        <v>31</v>
      </c>
      <c r="E172" t="s">
        <v>32</v>
      </c>
      <c r="F172" t="s">
        <v>45</v>
      </c>
      <c r="G172" t="s">
        <v>46</v>
      </c>
      <c r="H172" s="22">
        <v>45878</v>
      </c>
      <c r="I172">
        <v>32</v>
      </c>
      <c r="J172">
        <v>2</v>
      </c>
      <c r="K172">
        <v>42000</v>
      </c>
      <c r="L172">
        <v>52000</v>
      </c>
      <c r="M172">
        <v>131</v>
      </c>
      <c r="N172">
        <v>54</v>
      </c>
      <c r="O172">
        <v>8</v>
      </c>
      <c r="P172" t="s">
        <v>22</v>
      </c>
      <c r="Q172" s="4">
        <f t="shared" si="4"/>
        <v>104000</v>
      </c>
      <c r="R172" s="4">
        <f t="shared" si="5"/>
        <v>20000</v>
      </c>
    </row>
    <row r="173" spans="1:18" x14ac:dyDescent="0.25">
      <c r="A173" t="s">
        <v>269</v>
      </c>
      <c r="B173" t="s">
        <v>24</v>
      </c>
      <c r="C173" t="s">
        <v>25</v>
      </c>
      <c r="D173" t="s">
        <v>26</v>
      </c>
      <c r="E173" t="s">
        <v>27</v>
      </c>
      <c r="F173" t="s">
        <v>71</v>
      </c>
      <c r="G173" t="s">
        <v>34</v>
      </c>
      <c r="H173" s="22">
        <v>45709</v>
      </c>
      <c r="I173">
        <v>152</v>
      </c>
      <c r="J173">
        <v>116</v>
      </c>
      <c r="K173">
        <v>900</v>
      </c>
      <c r="L173">
        <v>1400</v>
      </c>
      <c r="M173">
        <v>280</v>
      </c>
      <c r="N173">
        <v>33</v>
      </c>
      <c r="O173">
        <v>17</v>
      </c>
      <c r="P173" t="s">
        <v>22</v>
      </c>
      <c r="Q173" s="4">
        <f t="shared" si="4"/>
        <v>162400</v>
      </c>
      <c r="R173" s="4">
        <f t="shared" si="5"/>
        <v>58000</v>
      </c>
    </row>
    <row r="174" spans="1:18" x14ac:dyDescent="0.25">
      <c r="A174" t="s">
        <v>270</v>
      </c>
      <c r="B174" t="s">
        <v>24</v>
      </c>
      <c r="C174" t="s">
        <v>25</v>
      </c>
      <c r="D174" t="s">
        <v>26</v>
      </c>
      <c r="E174" t="s">
        <v>27</v>
      </c>
      <c r="F174" t="s">
        <v>71</v>
      </c>
      <c r="G174" t="s">
        <v>34</v>
      </c>
      <c r="H174" s="22">
        <v>45868</v>
      </c>
      <c r="I174">
        <v>194</v>
      </c>
      <c r="J174">
        <v>116</v>
      </c>
      <c r="K174">
        <v>900</v>
      </c>
      <c r="L174">
        <v>1400</v>
      </c>
      <c r="M174">
        <v>110</v>
      </c>
      <c r="N174">
        <v>63</v>
      </c>
      <c r="O174">
        <v>7</v>
      </c>
      <c r="P174" t="s">
        <v>22</v>
      </c>
      <c r="Q174" s="4">
        <f t="shared" si="4"/>
        <v>162400</v>
      </c>
      <c r="R174" s="4">
        <f t="shared" si="5"/>
        <v>58000</v>
      </c>
    </row>
    <row r="175" spans="1:18" x14ac:dyDescent="0.25">
      <c r="A175" t="s">
        <v>271</v>
      </c>
      <c r="B175" t="s">
        <v>53</v>
      </c>
      <c r="C175" t="s">
        <v>272</v>
      </c>
      <c r="D175" t="s">
        <v>18</v>
      </c>
      <c r="E175" t="s">
        <v>44</v>
      </c>
      <c r="F175" t="s">
        <v>71</v>
      </c>
      <c r="G175" t="s">
        <v>34</v>
      </c>
      <c r="H175" s="22">
        <v>45984</v>
      </c>
      <c r="I175">
        <v>19</v>
      </c>
      <c r="J175">
        <v>8</v>
      </c>
      <c r="K175">
        <v>1200</v>
      </c>
      <c r="L175">
        <v>1800</v>
      </c>
      <c r="M175">
        <v>143</v>
      </c>
      <c r="N175">
        <v>44</v>
      </c>
      <c r="O175">
        <v>14</v>
      </c>
      <c r="P175" t="s">
        <v>22</v>
      </c>
      <c r="Q175" s="4">
        <f t="shared" si="4"/>
        <v>14400</v>
      </c>
      <c r="R175" s="4">
        <f t="shared" si="5"/>
        <v>4800</v>
      </c>
    </row>
    <row r="176" spans="1:18" x14ac:dyDescent="0.25">
      <c r="A176" t="s">
        <v>273</v>
      </c>
      <c r="B176" t="s">
        <v>56</v>
      </c>
      <c r="C176" t="s">
        <v>57</v>
      </c>
      <c r="D176" t="s">
        <v>26</v>
      </c>
      <c r="E176" t="s">
        <v>58</v>
      </c>
      <c r="F176" t="s">
        <v>45</v>
      </c>
      <c r="G176" t="s">
        <v>46</v>
      </c>
      <c r="H176" s="22">
        <v>45979</v>
      </c>
      <c r="I176">
        <v>183</v>
      </c>
      <c r="J176">
        <v>172</v>
      </c>
      <c r="K176">
        <v>900</v>
      </c>
      <c r="L176">
        <v>1400</v>
      </c>
      <c r="M176">
        <v>183</v>
      </c>
      <c r="N176">
        <v>57</v>
      </c>
      <c r="O176">
        <v>10</v>
      </c>
      <c r="P176" t="s">
        <v>22</v>
      </c>
      <c r="Q176" s="4">
        <f t="shared" si="4"/>
        <v>240800</v>
      </c>
      <c r="R176" s="4">
        <f t="shared" si="5"/>
        <v>86000</v>
      </c>
    </row>
    <row r="177" spans="1:18" x14ac:dyDescent="0.25">
      <c r="A177" t="s">
        <v>274</v>
      </c>
      <c r="B177" t="s">
        <v>68</v>
      </c>
      <c r="C177" t="s">
        <v>69</v>
      </c>
      <c r="D177" t="s">
        <v>43</v>
      </c>
      <c r="E177" t="s">
        <v>80</v>
      </c>
      <c r="F177" t="s">
        <v>20</v>
      </c>
      <c r="G177" t="s">
        <v>21</v>
      </c>
      <c r="H177" s="22">
        <v>45858</v>
      </c>
      <c r="I177">
        <v>123</v>
      </c>
      <c r="J177">
        <v>27</v>
      </c>
      <c r="K177">
        <v>650</v>
      </c>
      <c r="L177">
        <v>1000</v>
      </c>
      <c r="M177">
        <v>87</v>
      </c>
      <c r="N177">
        <v>28</v>
      </c>
      <c r="O177">
        <v>4</v>
      </c>
      <c r="P177" t="s">
        <v>51</v>
      </c>
      <c r="Q177" s="4">
        <f t="shared" si="4"/>
        <v>27000</v>
      </c>
      <c r="R177" s="4">
        <f t="shared" si="5"/>
        <v>9450</v>
      </c>
    </row>
    <row r="178" spans="1:18" x14ac:dyDescent="0.25">
      <c r="A178" t="s">
        <v>275</v>
      </c>
      <c r="B178" t="s">
        <v>88</v>
      </c>
      <c r="C178" t="s">
        <v>89</v>
      </c>
      <c r="D178" t="s">
        <v>31</v>
      </c>
      <c r="E178" t="s">
        <v>90</v>
      </c>
      <c r="F178" t="s">
        <v>20</v>
      </c>
      <c r="G178" t="s">
        <v>21</v>
      </c>
      <c r="H178" s="22">
        <v>45732</v>
      </c>
      <c r="I178">
        <v>95</v>
      </c>
      <c r="J178">
        <v>85</v>
      </c>
      <c r="K178">
        <v>1600</v>
      </c>
      <c r="L178">
        <v>2500</v>
      </c>
      <c r="M178">
        <v>214</v>
      </c>
      <c r="N178">
        <v>49</v>
      </c>
      <c r="O178">
        <v>11</v>
      </c>
      <c r="P178" t="s">
        <v>51</v>
      </c>
      <c r="Q178" s="4">
        <f t="shared" si="4"/>
        <v>212500</v>
      </c>
      <c r="R178" s="4">
        <f t="shared" si="5"/>
        <v>76500</v>
      </c>
    </row>
    <row r="179" spans="1:18" x14ac:dyDescent="0.25">
      <c r="A179" t="s">
        <v>276</v>
      </c>
      <c r="B179" t="s">
        <v>88</v>
      </c>
      <c r="C179" t="s">
        <v>89</v>
      </c>
      <c r="D179" t="s">
        <v>31</v>
      </c>
      <c r="E179" t="s">
        <v>90</v>
      </c>
      <c r="F179" t="s">
        <v>277</v>
      </c>
      <c r="G179" t="s">
        <v>34</v>
      </c>
      <c r="H179" s="22">
        <v>45775</v>
      </c>
      <c r="I179">
        <v>73</v>
      </c>
      <c r="J179">
        <v>48</v>
      </c>
      <c r="K179">
        <v>1600</v>
      </c>
      <c r="L179">
        <v>2500</v>
      </c>
      <c r="M179">
        <v>132</v>
      </c>
      <c r="N179">
        <v>47</v>
      </c>
      <c r="O179">
        <v>7</v>
      </c>
      <c r="P179" t="s">
        <v>22</v>
      </c>
      <c r="Q179" s="4">
        <f t="shared" si="4"/>
        <v>120000</v>
      </c>
      <c r="R179" s="4">
        <f t="shared" si="5"/>
        <v>43200</v>
      </c>
    </row>
    <row r="180" spans="1:18" x14ac:dyDescent="0.25">
      <c r="A180" t="s">
        <v>278</v>
      </c>
      <c r="B180" t="s">
        <v>185</v>
      </c>
      <c r="C180" t="s">
        <v>186</v>
      </c>
      <c r="D180" t="s">
        <v>18</v>
      </c>
      <c r="E180" t="s">
        <v>19</v>
      </c>
      <c r="F180" t="s">
        <v>20</v>
      </c>
      <c r="G180" t="s">
        <v>21</v>
      </c>
      <c r="H180" s="22">
        <v>45993</v>
      </c>
      <c r="I180">
        <v>82</v>
      </c>
      <c r="J180">
        <v>41</v>
      </c>
      <c r="K180">
        <v>70</v>
      </c>
      <c r="L180">
        <v>120</v>
      </c>
      <c r="M180">
        <v>248</v>
      </c>
      <c r="N180">
        <v>51</v>
      </c>
      <c r="O180">
        <v>15</v>
      </c>
      <c r="P180" t="s">
        <v>22</v>
      </c>
      <c r="Q180" s="4">
        <f t="shared" si="4"/>
        <v>4920</v>
      </c>
      <c r="R180" s="4">
        <f t="shared" si="5"/>
        <v>2050</v>
      </c>
    </row>
    <row r="181" spans="1:18" x14ac:dyDescent="0.25">
      <c r="A181" t="s">
        <v>279</v>
      </c>
      <c r="B181" t="s">
        <v>185</v>
      </c>
      <c r="C181" t="s">
        <v>186</v>
      </c>
      <c r="D181" t="s">
        <v>18</v>
      </c>
      <c r="E181" t="s">
        <v>19</v>
      </c>
      <c r="F181" t="s">
        <v>20</v>
      </c>
      <c r="G181" t="s">
        <v>21</v>
      </c>
      <c r="H181" s="22">
        <v>45783</v>
      </c>
      <c r="I181">
        <v>103</v>
      </c>
      <c r="J181">
        <v>7</v>
      </c>
      <c r="K181">
        <v>70</v>
      </c>
      <c r="L181">
        <v>120</v>
      </c>
      <c r="M181">
        <v>46</v>
      </c>
      <c r="N181">
        <v>72</v>
      </c>
      <c r="O181">
        <v>20</v>
      </c>
      <c r="P181" t="s">
        <v>93</v>
      </c>
      <c r="Q181" s="4">
        <f t="shared" si="4"/>
        <v>840</v>
      </c>
      <c r="R181" s="4">
        <f t="shared" si="5"/>
        <v>350</v>
      </c>
    </row>
    <row r="182" spans="1:18" x14ac:dyDescent="0.25">
      <c r="A182" t="s">
        <v>280</v>
      </c>
      <c r="B182" t="s">
        <v>24</v>
      </c>
      <c r="C182" t="s">
        <v>25</v>
      </c>
      <c r="D182" t="s">
        <v>26</v>
      </c>
      <c r="E182" t="s">
        <v>27</v>
      </c>
      <c r="F182" t="s">
        <v>71</v>
      </c>
      <c r="G182" t="s">
        <v>34</v>
      </c>
      <c r="H182" s="22">
        <v>45982</v>
      </c>
      <c r="I182">
        <v>154</v>
      </c>
      <c r="J182">
        <v>3</v>
      </c>
      <c r="K182">
        <v>900</v>
      </c>
      <c r="L182">
        <v>1400</v>
      </c>
      <c r="M182">
        <v>8</v>
      </c>
      <c r="N182">
        <v>33</v>
      </c>
      <c r="O182">
        <v>4</v>
      </c>
      <c r="P182" t="s">
        <v>51</v>
      </c>
      <c r="Q182" s="4">
        <f t="shared" si="4"/>
        <v>4200</v>
      </c>
      <c r="R182" s="4">
        <f t="shared" si="5"/>
        <v>1500</v>
      </c>
    </row>
    <row r="183" spans="1:18" x14ac:dyDescent="0.25">
      <c r="A183" t="s">
        <v>281</v>
      </c>
      <c r="B183" t="s">
        <v>53</v>
      </c>
      <c r="C183" t="s">
        <v>54</v>
      </c>
      <c r="D183" t="s">
        <v>18</v>
      </c>
      <c r="E183" t="s">
        <v>44</v>
      </c>
      <c r="F183" t="s">
        <v>33</v>
      </c>
      <c r="G183" t="s">
        <v>34</v>
      </c>
      <c r="H183" s="22">
        <v>45954</v>
      </c>
      <c r="I183">
        <v>41</v>
      </c>
      <c r="J183">
        <v>14</v>
      </c>
      <c r="K183">
        <v>1200</v>
      </c>
      <c r="L183">
        <v>1800</v>
      </c>
      <c r="M183">
        <v>98</v>
      </c>
      <c r="N183">
        <v>69</v>
      </c>
      <c r="O183">
        <v>16</v>
      </c>
      <c r="P183" t="s">
        <v>22</v>
      </c>
      <c r="Q183" s="4">
        <f t="shared" si="4"/>
        <v>25200</v>
      </c>
      <c r="R183" s="4">
        <f t="shared" si="5"/>
        <v>8400</v>
      </c>
    </row>
    <row r="184" spans="1:18" x14ac:dyDescent="0.25">
      <c r="A184" t="s">
        <v>282</v>
      </c>
      <c r="B184" t="s">
        <v>83</v>
      </c>
      <c r="C184" t="s">
        <v>84</v>
      </c>
      <c r="D184" t="s">
        <v>31</v>
      </c>
      <c r="E184" t="s">
        <v>86</v>
      </c>
      <c r="F184" t="s">
        <v>45</v>
      </c>
      <c r="G184" t="s">
        <v>46</v>
      </c>
      <c r="H184" s="22">
        <v>45931</v>
      </c>
      <c r="I184">
        <v>47</v>
      </c>
      <c r="J184">
        <v>39</v>
      </c>
      <c r="K184">
        <v>9000</v>
      </c>
      <c r="L184">
        <v>12500</v>
      </c>
      <c r="M184">
        <v>49</v>
      </c>
      <c r="N184">
        <v>62</v>
      </c>
      <c r="O184">
        <v>19</v>
      </c>
      <c r="P184" t="s">
        <v>51</v>
      </c>
      <c r="Q184" s="4">
        <f t="shared" si="4"/>
        <v>487500</v>
      </c>
      <c r="R184" s="4">
        <f t="shared" si="5"/>
        <v>136500</v>
      </c>
    </row>
    <row r="185" spans="1:18" x14ac:dyDescent="0.25">
      <c r="A185" t="s">
        <v>283</v>
      </c>
      <c r="B185" t="s">
        <v>83</v>
      </c>
      <c r="C185" t="s">
        <v>84</v>
      </c>
      <c r="D185" t="s">
        <v>31</v>
      </c>
      <c r="E185" t="s">
        <v>86</v>
      </c>
      <c r="F185" t="s">
        <v>45</v>
      </c>
      <c r="G185" t="s">
        <v>46</v>
      </c>
      <c r="H185" s="22">
        <v>46012</v>
      </c>
      <c r="I185">
        <v>59</v>
      </c>
      <c r="J185">
        <v>33</v>
      </c>
      <c r="K185">
        <v>9000</v>
      </c>
      <c r="L185">
        <v>12500</v>
      </c>
      <c r="M185">
        <v>43</v>
      </c>
      <c r="N185">
        <v>67</v>
      </c>
      <c r="O185">
        <v>16</v>
      </c>
      <c r="P185" t="s">
        <v>51</v>
      </c>
      <c r="Q185" s="4">
        <f t="shared" si="4"/>
        <v>412500</v>
      </c>
      <c r="R185" s="4">
        <f t="shared" si="5"/>
        <v>115500</v>
      </c>
    </row>
    <row r="186" spans="1:18" x14ac:dyDescent="0.25">
      <c r="A186" t="s">
        <v>284</v>
      </c>
      <c r="B186" t="s">
        <v>41</v>
      </c>
      <c r="C186" t="s">
        <v>42</v>
      </c>
      <c r="D186" t="s">
        <v>43</v>
      </c>
      <c r="E186" t="s">
        <v>44</v>
      </c>
      <c r="F186" t="s">
        <v>33</v>
      </c>
      <c r="G186" t="s">
        <v>34</v>
      </c>
      <c r="H186" s="22">
        <v>45793</v>
      </c>
      <c r="I186">
        <v>112</v>
      </c>
      <c r="J186">
        <v>29</v>
      </c>
      <c r="K186">
        <v>5000</v>
      </c>
      <c r="L186">
        <v>7000</v>
      </c>
      <c r="M186">
        <v>74</v>
      </c>
      <c r="N186">
        <v>50</v>
      </c>
      <c r="O186">
        <v>17</v>
      </c>
      <c r="P186" t="s">
        <v>22</v>
      </c>
      <c r="Q186" s="4">
        <f t="shared" si="4"/>
        <v>203000</v>
      </c>
      <c r="R186" s="4">
        <f t="shared" si="5"/>
        <v>58000</v>
      </c>
    </row>
    <row r="187" spans="1:18" x14ac:dyDescent="0.25">
      <c r="A187" t="s">
        <v>285</v>
      </c>
      <c r="B187" t="s">
        <v>122</v>
      </c>
      <c r="C187" t="s">
        <v>123</v>
      </c>
      <c r="D187" t="s">
        <v>31</v>
      </c>
      <c r="E187" t="s">
        <v>124</v>
      </c>
      <c r="F187" t="s">
        <v>20</v>
      </c>
      <c r="G187" t="s">
        <v>21</v>
      </c>
      <c r="H187" s="22">
        <v>46016</v>
      </c>
      <c r="I187">
        <v>130</v>
      </c>
      <c r="J187">
        <v>63</v>
      </c>
      <c r="K187">
        <v>4500</v>
      </c>
      <c r="L187">
        <v>6500</v>
      </c>
      <c r="M187">
        <v>258</v>
      </c>
      <c r="N187">
        <v>30</v>
      </c>
      <c r="O187">
        <v>19</v>
      </c>
      <c r="P187" t="s">
        <v>22</v>
      </c>
      <c r="Q187" s="4">
        <f t="shared" si="4"/>
        <v>409500</v>
      </c>
      <c r="R187" s="4">
        <f t="shared" si="5"/>
        <v>126000</v>
      </c>
    </row>
    <row r="188" spans="1:18" x14ac:dyDescent="0.25">
      <c r="A188" t="s">
        <v>286</v>
      </c>
      <c r="B188" t="s">
        <v>194</v>
      </c>
      <c r="C188" t="s">
        <v>195</v>
      </c>
      <c r="D188" t="s">
        <v>43</v>
      </c>
      <c r="E188" t="s">
        <v>108</v>
      </c>
      <c r="F188" t="s">
        <v>71</v>
      </c>
      <c r="G188" t="s">
        <v>34</v>
      </c>
      <c r="H188" s="22">
        <v>45897</v>
      </c>
      <c r="I188">
        <v>183</v>
      </c>
      <c r="J188">
        <v>144</v>
      </c>
      <c r="K188">
        <v>7000</v>
      </c>
      <c r="L188">
        <v>9500</v>
      </c>
      <c r="M188">
        <v>257</v>
      </c>
      <c r="N188">
        <v>62</v>
      </c>
      <c r="O188">
        <v>11</v>
      </c>
      <c r="P188" t="s">
        <v>93</v>
      </c>
      <c r="Q188" s="4">
        <f t="shared" si="4"/>
        <v>1368000</v>
      </c>
      <c r="R188" s="4">
        <f t="shared" si="5"/>
        <v>360000</v>
      </c>
    </row>
    <row r="189" spans="1:18" x14ac:dyDescent="0.25">
      <c r="A189" t="s">
        <v>287</v>
      </c>
      <c r="B189" t="s">
        <v>56</v>
      </c>
      <c r="C189" t="s">
        <v>57</v>
      </c>
      <c r="D189" t="s">
        <v>26</v>
      </c>
      <c r="E189" t="s">
        <v>58</v>
      </c>
      <c r="F189" t="s">
        <v>45</v>
      </c>
      <c r="G189" t="s">
        <v>46</v>
      </c>
      <c r="H189" s="22">
        <v>46004</v>
      </c>
      <c r="I189">
        <v>24</v>
      </c>
      <c r="J189">
        <v>5</v>
      </c>
      <c r="K189">
        <v>900</v>
      </c>
      <c r="L189">
        <v>1400</v>
      </c>
      <c r="M189">
        <v>187</v>
      </c>
      <c r="N189">
        <v>60</v>
      </c>
      <c r="O189">
        <v>2</v>
      </c>
      <c r="P189" t="s">
        <v>22</v>
      </c>
      <c r="Q189" s="4">
        <f t="shared" si="4"/>
        <v>7000</v>
      </c>
      <c r="R189" s="4">
        <f t="shared" si="5"/>
        <v>2500</v>
      </c>
    </row>
    <row r="190" spans="1:18" x14ac:dyDescent="0.25">
      <c r="A190" t="s">
        <v>288</v>
      </c>
      <c r="B190" t="s">
        <v>16</v>
      </c>
      <c r="C190" t="s">
        <v>17</v>
      </c>
      <c r="D190" t="s">
        <v>18</v>
      </c>
      <c r="E190" t="s">
        <v>19</v>
      </c>
      <c r="F190" t="s">
        <v>33</v>
      </c>
      <c r="G190" t="s">
        <v>34</v>
      </c>
      <c r="H190" s="22">
        <v>45919</v>
      </c>
      <c r="I190">
        <v>128</v>
      </c>
      <c r="J190">
        <v>124</v>
      </c>
      <c r="K190">
        <v>45</v>
      </c>
      <c r="L190">
        <v>80</v>
      </c>
      <c r="M190">
        <v>76</v>
      </c>
      <c r="N190">
        <v>22</v>
      </c>
      <c r="O190">
        <v>8</v>
      </c>
      <c r="P190" t="s">
        <v>51</v>
      </c>
      <c r="Q190" s="4">
        <f t="shared" si="4"/>
        <v>9920</v>
      </c>
      <c r="R190" s="4">
        <f t="shared" si="5"/>
        <v>4340</v>
      </c>
    </row>
    <row r="191" spans="1:18" x14ac:dyDescent="0.25">
      <c r="A191" t="s">
        <v>289</v>
      </c>
      <c r="B191" t="s">
        <v>16</v>
      </c>
      <c r="C191" t="s">
        <v>17</v>
      </c>
      <c r="D191" t="s">
        <v>18</v>
      </c>
      <c r="E191" t="s">
        <v>19</v>
      </c>
      <c r="F191" t="s">
        <v>33</v>
      </c>
      <c r="G191" t="s">
        <v>34</v>
      </c>
      <c r="H191" s="22">
        <v>45759</v>
      </c>
      <c r="I191">
        <v>98</v>
      </c>
      <c r="J191">
        <v>43</v>
      </c>
      <c r="K191">
        <v>45</v>
      </c>
      <c r="L191">
        <v>80</v>
      </c>
      <c r="M191">
        <v>245</v>
      </c>
      <c r="N191">
        <v>69</v>
      </c>
      <c r="O191">
        <v>18</v>
      </c>
      <c r="P191" t="s">
        <v>22</v>
      </c>
      <c r="Q191" s="4">
        <f t="shared" si="4"/>
        <v>3440</v>
      </c>
      <c r="R191" s="4">
        <f t="shared" si="5"/>
        <v>1505</v>
      </c>
    </row>
    <row r="192" spans="1:18" x14ac:dyDescent="0.25">
      <c r="A192" t="s">
        <v>290</v>
      </c>
      <c r="B192" t="s">
        <v>63</v>
      </c>
      <c r="C192" t="s">
        <v>64</v>
      </c>
      <c r="D192" t="s">
        <v>148</v>
      </c>
      <c r="E192" t="s">
        <v>65</v>
      </c>
      <c r="F192" t="s">
        <v>45</v>
      </c>
      <c r="G192" t="s">
        <v>46</v>
      </c>
      <c r="H192" s="22">
        <v>45833</v>
      </c>
      <c r="I192">
        <v>113</v>
      </c>
      <c r="J192">
        <v>32</v>
      </c>
      <c r="K192">
        <v>1800</v>
      </c>
      <c r="L192">
        <v>2800</v>
      </c>
      <c r="M192">
        <v>29</v>
      </c>
      <c r="N192">
        <v>72</v>
      </c>
      <c r="O192">
        <v>11</v>
      </c>
      <c r="P192" t="s">
        <v>22</v>
      </c>
      <c r="Q192" s="4">
        <f t="shared" si="4"/>
        <v>89600</v>
      </c>
      <c r="R192" s="4">
        <f t="shared" si="5"/>
        <v>32000</v>
      </c>
    </row>
    <row r="193" spans="1:18" x14ac:dyDescent="0.25">
      <c r="A193" t="s">
        <v>291</v>
      </c>
      <c r="B193" t="s">
        <v>68</v>
      </c>
      <c r="C193" t="s">
        <v>69</v>
      </c>
      <c r="D193" t="s">
        <v>43</v>
      </c>
      <c r="E193" t="s">
        <v>80</v>
      </c>
      <c r="F193" t="s">
        <v>71</v>
      </c>
      <c r="G193" t="s">
        <v>34</v>
      </c>
      <c r="H193" s="22">
        <v>45915</v>
      </c>
      <c r="I193">
        <v>74</v>
      </c>
      <c r="J193">
        <v>64</v>
      </c>
      <c r="K193">
        <v>650</v>
      </c>
      <c r="L193">
        <v>1000</v>
      </c>
      <c r="M193">
        <v>179</v>
      </c>
      <c r="N193">
        <v>33</v>
      </c>
      <c r="O193">
        <v>17</v>
      </c>
      <c r="P193" t="s">
        <v>51</v>
      </c>
      <c r="Q193" s="4">
        <f t="shared" si="4"/>
        <v>64000</v>
      </c>
      <c r="R193" s="4">
        <f t="shared" si="5"/>
        <v>22400</v>
      </c>
    </row>
    <row r="194" spans="1:18" x14ac:dyDescent="0.25">
      <c r="A194" t="s">
        <v>292</v>
      </c>
      <c r="B194" t="s">
        <v>83</v>
      </c>
      <c r="C194" t="s">
        <v>84</v>
      </c>
      <c r="D194" t="s">
        <v>31</v>
      </c>
      <c r="E194" t="s">
        <v>86</v>
      </c>
      <c r="F194" t="s">
        <v>71</v>
      </c>
      <c r="G194" t="s">
        <v>34</v>
      </c>
      <c r="H194" s="22">
        <v>45811</v>
      </c>
      <c r="I194">
        <v>37</v>
      </c>
      <c r="J194">
        <v>37</v>
      </c>
      <c r="K194">
        <v>9000</v>
      </c>
      <c r="L194">
        <v>12500</v>
      </c>
      <c r="M194">
        <v>47</v>
      </c>
      <c r="N194">
        <v>70</v>
      </c>
      <c r="O194">
        <v>3</v>
      </c>
      <c r="P194" t="s">
        <v>22</v>
      </c>
      <c r="Q194" s="4">
        <f t="shared" si="4"/>
        <v>462500</v>
      </c>
      <c r="R194" s="4">
        <f t="shared" si="5"/>
        <v>129500</v>
      </c>
    </row>
    <row r="195" spans="1:18" x14ac:dyDescent="0.25">
      <c r="A195" t="s">
        <v>293</v>
      </c>
      <c r="B195" t="s">
        <v>41</v>
      </c>
      <c r="C195" t="s">
        <v>42</v>
      </c>
      <c r="D195" t="s">
        <v>43</v>
      </c>
      <c r="E195" t="s">
        <v>44</v>
      </c>
      <c r="F195" t="s">
        <v>33</v>
      </c>
      <c r="G195" t="s">
        <v>34</v>
      </c>
      <c r="H195" s="22">
        <v>45862</v>
      </c>
      <c r="I195">
        <v>81</v>
      </c>
      <c r="J195">
        <v>13</v>
      </c>
      <c r="K195">
        <v>5000</v>
      </c>
      <c r="L195">
        <v>7000</v>
      </c>
      <c r="M195">
        <v>6</v>
      </c>
      <c r="N195">
        <v>22</v>
      </c>
      <c r="O195">
        <v>8</v>
      </c>
      <c r="P195" t="s">
        <v>51</v>
      </c>
      <c r="Q195" s="4">
        <f t="shared" ref="Q195:Q258" si="6">J195*L195</f>
        <v>91000</v>
      </c>
      <c r="R195" s="4">
        <f t="shared" ref="R195:R258" si="7">(L195-K195)*J195</f>
        <v>26000</v>
      </c>
    </row>
    <row r="196" spans="1:18" x14ac:dyDescent="0.25">
      <c r="A196" t="s">
        <v>294</v>
      </c>
      <c r="B196" t="s">
        <v>53</v>
      </c>
      <c r="C196" t="s">
        <v>54</v>
      </c>
      <c r="D196" t="s">
        <v>18</v>
      </c>
      <c r="E196" t="s">
        <v>44</v>
      </c>
      <c r="F196" t="s">
        <v>33</v>
      </c>
      <c r="G196" t="s">
        <v>34</v>
      </c>
      <c r="H196" s="22">
        <v>45914</v>
      </c>
      <c r="I196">
        <v>144</v>
      </c>
      <c r="J196">
        <v>96</v>
      </c>
      <c r="K196">
        <v>1200</v>
      </c>
      <c r="L196">
        <v>1800</v>
      </c>
      <c r="M196">
        <v>78</v>
      </c>
      <c r="N196">
        <v>60</v>
      </c>
      <c r="O196">
        <v>4</v>
      </c>
      <c r="P196" t="s">
        <v>22</v>
      </c>
      <c r="Q196" s="4">
        <f t="shared" si="6"/>
        <v>172800</v>
      </c>
      <c r="R196" s="4">
        <f t="shared" si="7"/>
        <v>57600</v>
      </c>
    </row>
    <row r="197" spans="1:18" x14ac:dyDescent="0.25">
      <c r="A197" t="s">
        <v>295</v>
      </c>
      <c r="B197" t="s">
        <v>194</v>
      </c>
      <c r="C197" t="s">
        <v>195</v>
      </c>
      <c r="D197" t="s">
        <v>43</v>
      </c>
      <c r="E197" t="s">
        <v>108</v>
      </c>
      <c r="F197" t="s">
        <v>33</v>
      </c>
      <c r="G197" t="s">
        <v>34</v>
      </c>
      <c r="H197" s="22">
        <v>45997</v>
      </c>
      <c r="I197">
        <v>51</v>
      </c>
      <c r="J197">
        <v>2</v>
      </c>
      <c r="K197">
        <v>7000</v>
      </c>
      <c r="L197">
        <v>9500</v>
      </c>
      <c r="M197">
        <v>218</v>
      </c>
      <c r="N197">
        <v>69</v>
      </c>
      <c r="O197">
        <v>5</v>
      </c>
      <c r="P197" t="s">
        <v>93</v>
      </c>
      <c r="Q197" s="4">
        <f t="shared" si="6"/>
        <v>19000</v>
      </c>
      <c r="R197" s="4">
        <f t="shared" si="7"/>
        <v>5000</v>
      </c>
    </row>
    <row r="198" spans="1:18" x14ac:dyDescent="0.25">
      <c r="A198" t="s">
        <v>296</v>
      </c>
      <c r="B198" t="s">
        <v>185</v>
      </c>
      <c r="C198" t="s">
        <v>186</v>
      </c>
      <c r="D198" t="s">
        <v>18</v>
      </c>
      <c r="E198" t="s">
        <v>19</v>
      </c>
      <c r="F198" t="s">
        <v>20</v>
      </c>
      <c r="G198" t="s">
        <v>21</v>
      </c>
      <c r="H198" s="22">
        <v>45816</v>
      </c>
      <c r="I198">
        <v>148</v>
      </c>
      <c r="J198">
        <v>66</v>
      </c>
      <c r="K198">
        <v>70</v>
      </c>
      <c r="L198">
        <v>120</v>
      </c>
      <c r="M198">
        <v>157</v>
      </c>
      <c r="N198">
        <v>31</v>
      </c>
      <c r="O198">
        <v>15</v>
      </c>
      <c r="P198" t="s">
        <v>22</v>
      </c>
      <c r="Q198" s="4">
        <f t="shared" si="6"/>
        <v>7920</v>
      </c>
      <c r="R198" s="4">
        <f t="shared" si="7"/>
        <v>3300</v>
      </c>
    </row>
    <row r="199" spans="1:18" x14ac:dyDescent="0.25">
      <c r="A199" t="s">
        <v>297</v>
      </c>
      <c r="B199" t="s">
        <v>56</v>
      </c>
      <c r="C199" t="s">
        <v>57</v>
      </c>
      <c r="D199" t="s">
        <v>26</v>
      </c>
      <c r="E199" t="s">
        <v>58</v>
      </c>
      <c r="F199" t="s">
        <v>33</v>
      </c>
      <c r="G199" t="s">
        <v>34</v>
      </c>
      <c r="H199" s="22">
        <v>45912</v>
      </c>
      <c r="I199">
        <v>150</v>
      </c>
      <c r="J199">
        <v>133</v>
      </c>
      <c r="K199">
        <v>900</v>
      </c>
      <c r="L199">
        <v>1400</v>
      </c>
      <c r="M199">
        <v>23</v>
      </c>
      <c r="N199">
        <v>72</v>
      </c>
      <c r="O199" t="s">
        <v>401</v>
      </c>
      <c r="P199" t="s">
        <v>51</v>
      </c>
      <c r="Q199" s="4">
        <f t="shared" si="6"/>
        <v>186200</v>
      </c>
      <c r="R199" s="4">
        <f t="shared" si="7"/>
        <v>66500</v>
      </c>
    </row>
    <row r="200" spans="1:18" x14ac:dyDescent="0.25">
      <c r="A200" t="s">
        <v>298</v>
      </c>
      <c r="B200" t="s">
        <v>215</v>
      </c>
      <c r="C200" t="s">
        <v>216</v>
      </c>
      <c r="D200" t="s">
        <v>18</v>
      </c>
      <c r="E200" t="s">
        <v>19</v>
      </c>
      <c r="F200" t="s">
        <v>45</v>
      </c>
      <c r="G200" t="s">
        <v>46</v>
      </c>
      <c r="H200" s="22">
        <v>45886</v>
      </c>
      <c r="I200">
        <v>22</v>
      </c>
      <c r="J200">
        <v>0</v>
      </c>
      <c r="K200">
        <v>120</v>
      </c>
      <c r="L200">
        <v>200</v>
      </c>
      <c r="M200">
        <v>201</v>
      </c>
      <c r="N200">
        <v>58</v>
      </c>
      <c r="O200">
        <v>20</v>
      </c>
      <c r="P200" t="s">
        <v>72</v>
      </c>
      <c r="Q200" s="4">
        <f t="shared" si="6"/>
        <v>0</v>
      </c>
      <c r="R200" s="4">
        <f t="shared" si="7"/>
        <v>0</v>
      </c>
    </row>
    <row r="201" spans="1:18" x14ac:dyDescent="0.25">
      <c r="A201" t="s">
        <v>299</v>
      </c>
      <c r="B201" t="s">
        <v>88</v>
      </c>
      <c r="C201" t="s">
        <v>89</v>
      </c>
      <c r="D201" t="s">
        <v>31</v>
      </c>
      <c r="E201" t="s">
        <v>90</v>
      </c>
      <c r="F201" t="s">
        <v>45</v>
      </c>
      <c r="G201" t="s">
        <v>46</v>
      </c>
      <c r="H201" s="22">
        <v>45938</v>
      </c>
      <c r="I201">
        <v>31</v>
      </c>
      <c r="J201">
        <v>5</v>
      </c>
      <c r="K201">
        <v>1600</v>
      </c>
      <c r="L201">
        <v>2500</v>
      </c>
      <c r="M201">
        <v>244</v>
      </c>
      <c r="N201">
        <v>33</v>
      </c>
      <c r="O201">
        <v>6</v>
      </c>
      <c r="P201" t="s">
        <v>22</v>
      </c>
      <c r="Q201" s="4">
        <f t="shared" si="6"/>
        <v>12500</v>
      </c>
      <c r="R201" s="4">
        <f t="shared" si="7"/>
        <v>4500</v>
      </c>
    </row>
    <row r="202" spans="1:18" x14ac:dyDescent="0.25">
      <c r="A202" t="s">
        <v>300</v>
      </c>
      <c r="B202" t="s">
        <v>103</v>
      </c>
      <c r="C202" t="s">
        <v>104</v>
      </c>
      <c r="D202" t="s">
        <v>31</v>
      </c>
      <c r="E202" t="s">
        <v>32</v>
      </c>
      <c r="F202" t="s">
        <v>33</v>
      </c>
      <c r="G202" t="s">
        <v>34</v>
      </c>
      <c r="H202" s="22">
        <v>46008</v>
      </c>
      <c r="I202">
        <v>176</v>
      </c>
      <c r="J202">
        <v>31</v>
      </c>
      <c r="K202">
        <v>42000</v>
      </c>
      <c r="L202">
        <v>52000</v>
      </c>
      <c r="M202">
        <v>48</v>
      </c>
      <c r="N202">
        <v>33</v>
      </c>
      <c r="O202">
        <v>5</v>
      </c>
      <c r="P202" t="s">
        <v>22</v>
      </c>
      <c r="Q202" s="4">
        <f t="shared" si="6"/>
        <v>1612000</v>
      </c>
      <c r="R202" s="4">
        <f t="shared" si="7"/>
        <v>310000</v>
      </c>
    </row>
    <row r="203" spans="1:18" x14ac:dyDescent="0.25">
      <c r="A203" t="s">
        <v>301</v>
      </c>
      <c r="B203" t="s">
        <v>75</v>
      </c>
      <c r="C203" t="s">
        <v>76</v>
      </c>
      <c r="D203" t="s">
        <v>31</v>
      </c>
      <c r="E203" t="s">
        <v>77</v>
      </c>
      <c r="F203" t="s">
        <v>163</v>
      </c>
      <c r="G203" t="s">
        <v>21</v>
      </c>
      <c r="H203" s="22">
        <v>45888</v>
      </c>
      <c r="I203">
        <v>192</v>
      </c>
      <c r="J203">
        <v>190</v>
      </c>
      <c r="K203">
        <v>900</v>
      </c>
      <c r="L203">
        <v>1500</v>
      </c>
      <c r="M203">
        <v>98</v>
      </c>
      <c r="N203">
        <v>79</v>
      </c>
      <c r="O203">
        <v>3</v>
      </c>
      <c r="P203" t="s">
        <v>22</v>
      </c>
      <c r="Q203" s="4">
        <f t="shared" si="6"/>
        <v>285000</v>
      </c>
      <c r="R203" s="4">
        <f t="shared" si="7"/>
        <v>114000</v>
      </c>
    </row>
    <row r="204" spans="1:18" x14ac:dyDescent="0.25">
      <c r="A204" t="s">
        <v>302</v>
      </c>
      <c r="B204" t="s">
        <v>60</v>
      </c>
      <c r="C204" t="s">
        <v>61</v>
      </c>
      <c r="D204" t="s">
        <v>31</v>
      </c>
      <c r="E204" t="s">
        <v>32</v>
      </c>
      <c r="F204" t="s">
        <v>71</v>
      </c>
      <c r="G204" t="s">
        <v>34</v>
      </c>
      <c r="H204" s="22">
        <v>45979</v>
      </c>
      <c r="I204">
        <v>147</v>
      </c>
      <c r="J204">
        <v>127</v>
      </c>
      <c r="K204">
        <v>800</v>
      </c>
      <c r="L204">
        <v>1200</v>
      </c>
      <c r="M204">
        <v>238</v>
      </c>
      <c r="N204">
        <v>62</v>
      </c>
      <c r="O204">
        <v>10</v>
      </c>
      <c r="P204" t="s">
        <v>93</v>
      </c>
      <c r="Q204" s="4">
        <f t="shared" si="6"/>
        <v>152400</v>
      </c>
      <c r="R204" s="4">
        <f t="shared" si="7"/>
        <v>50800</v>
      </c>
    </row>
    <row r="205" spans="1:18" x14ac:dyDescent="0.25">
      <c r="A205" t="s">
        <v>303</v>
      </c>
      <c r="B205" t="s">
        <v>29</v>
      </c>
      <c r="C205" t="s">
        <v>30</v>
      </c>
      <c r="D205" t="s">
        <v>31</v>
      </c>
      <c r="E205" t="s">
        <v>32</v>
      </c>
      <c r="F205" t="s">
        <v>33</v>
      </c>
      <c r="G205" t="s">
        <v>34</v>
      </c>
      <c r="H205" s="22">
        <v>45659</v>
      </c>
      <c r="I205">
        <v>8</v>
      </c>
      <c r="J205">
        <v>1</v>
      </c>
      <c r="K205">
        <v>450</v>
      </c>
      <c r="L205">
        <v>700</v>
      </c>
      <c r="M205">
        <v>202</v>
      </c>
      <c r="N205">
        <v>39</v>
      </c>
      <c r="O205">
        <v>11</v>
      </c>
      <c r="P205" t="s">
        <v>51</v>
      </c>
      <c r="Q205" s="4">
        <f t="shared" si="6"/>
        <v>700</v>
      </c>
      <c r="R205" s="4">
        <f t="shared" si="7"/>
        <v>250</v>
      </c>
    </row>
    <row r="206" spans="1:18" x14ac:dyDescent="0.25">
      <c r="A206" t="s">
        <v>304</v>
      </c>
      <c r="B206" t="s">
        <v>88</v>
      </c>
      <c r="C206" t="s">
        <v>89</v>
      </c>
      <c r="D206" t="s">
        <v>31</v>
      </c>
      <c r="E206" t="s">
        <v>90</v>
      </c>
      <c r="F206" t="s">
        <v>33</v>
      </c>
      <c r="G206" t="s">
        <v>34</v>
      </c>
      <c r="H206" s="22">
        <v>45819</v>
      </c>
      <c r="I206">
        <v>99</v>
      </c>
      <c r="J206">
        <v>73</v>
      </c>
      <c r="K206">
        <v>1600</v>
      </c>
      <c r="L206">
        <v>2500</v>
      </c>
      <c r="M206">
        <v>227</v>
      </c>
      <c r="N206">
        <v>50</v>
      </c>
      <c r="O206">
        <v>7</v>
      </c>
      <c r="P206" t="s">
        <v>22</v>
      </c>
      <c r="Q206" s="4">
        <f t="shared" si="6"/>
        <v>182500</v>
      </c>
      <c r="R206" s="4">
        <f t="shared" si="7"/>
        <v>65700</v>
      </c>
    </row>
    <row r="207" spans="1:18" x14ac:dyDescent="0.25">
      <c r="A207" t="s">
        <v>305</v>
      </c>
      <c r="B207" t="s">
        <v>185</v>
      </c>
      <c r="C207" t="s">
        <v>186</v>
      </c>
      <c r="D207" t="s">
        <v>18</v>
      </c>
      <c r="E207" t="s">
        <v>19</v>
      </c>
      <c r="F207" t="s">
        <v>20</v>
      </c>
      <c r="G207" t="s">
        <v>21</v>
      </c>
      <c r="H207" s="22">
        <v>45980</v>
      </c>
      <c r="I207">
        <v>210</v>
      </c>
      <c r="J207">
        <v>106</v>
      </c>
      <c r="K207">
        <v>70</v>
      </c>
      <c r="L207">
        <v>120</v>
      </c>
      <c r="M207">
        <v>247</v>
      </c>
      <c r="N207">
        <v>44</v>
      </c>
      <c r="O207">
        <v>16</v>
      </c>
      <c r="P207" t="s">
        <v>93</v>
      </c>
      <c r="Q207" s="4">
        <f t="shared" si="6"/>
        <v>12720</v>
      </c>
      <c r="R207" s="4">
        <f t="shared" si="7"/>
        <v>5300</v>
      </c>
    </row>
    <row r="208" spans="1:18" x14ac:dyDescent="0.25">
      <c r="A208" t="s">
        <v>306</v>
      </c>
      <c r="B208" t="s">
        <v>63</v>
      </c>
      <c r="C208" t="s">
        <v>64</v>
      </c>
      <c r="D208" t="s">
        <v>31</v>
      </c>
      <c r="E208" t="s">
        <v>65</v>
      </c>
      <c r="F208" t="s">
        <v>71</v>
      </c>
      <c r="G208" t="s">
        <v>34</v>
      </c>
      <c r="H208" s="22">
        <v>45689</v>
      </c>
      <c r="I208">
        <v>164</v>
      </c>
      <c r="J208">
        <v>153</v>
      </c>
      <c r="K208">
        <v>1800</v>
      </c>
      <c r="L208">
        <v>2800</v>
      </c>
      <c r="M208">
        <v>173</v>
      </c>
      <c r="N208">
        <v>75</v>
      </c>
      <c r="O208">
        <v>2</v>
      </c>
      <c r="P208" t="s">
        <v>93</v>
      </c>
      <c r="Q208" s="4">
        <f t="shared" si="6"/>
        <v>428400</v>
      </c>
      <c r="R208" s="4">
        <f t="shared" si="7"/>
        <v>153000</v>
      </c>
    </row>
    <row r="209" spans="1:18" x14ac:dyDescent="0.25">
      <c r="A209" t="s">
        <v>307</v>
      </c>
      <c r="B209" t="s">
        <v>215</v>
      </c>
      <c r="C209" t="s">
        <v>216</v>
      </c>
      <c r="D209" t="s">
        <v>18</v>
      </c>
      <c r="E209" t="s">
        <v>19</v>
      </c>
      <c r="F209" t="s">
        <v>45</v>
      </c>
      <c r="G209" t="s">
        <v>46</v>
      </c>
      <c r="H209" s="22">
        <v>45784</v>
      </c>
      <c r="I209">
        <v>101</v>
      </c>
      <c r="J209">
        <v>49</v>
      </c>
      <c r="K209">
        <v>120</v>
      </c>
      <c r="L209">
        <v>200</v>
      </c>
      <c r="M209">
        <v>195</v>
      </c>
      <c r="N209">
        <v>58</v>
      </c>
      <c r="O209">
        <v>9</v>
      </c>
      <c r="P209" t="s">
        <v>51</v>
      </c>
      <c r="Q209" s="4">
        <f t="shared" si="6"/>
        <v>9800</v>
      </c>
      <c r="R209" s="4">
        <f t="shared" si="7"/>
        <v>3920</v>
      </c>
    </row>
    <row r="210" spans="1:18" x14ac:dyDescent="0.25">
      <c r="A210" t="s">
        <v>308</v>
      </c>
      <c r="B210" t="s">
        <v>103</v>
      </c>
      <c r="C210" t="s">
        <v>104</v>
      </c>
      <c r="D210" t="s">
        <v>31</v>
      </c>
      <c r="E210" t="s">
        <v>32</v>
      </c>
      <c r="F210" t="s">
        <v>71</v>
      </c>
      <c r="G210" t="s">
        <v>34</v>
      </c>
      <c r="H210" s="22">
        <v>45792</v>
      </c>
      <c r="I210">
        <v>73</v>
      </c>
      <c r="J210">
        <v>54</v>
      </c>
      <c r="K210">
        <v>42000</v>
      </c>
      <c r="L210">
        <v>52000</v>
      </c>
      <c r="M210">
        <v>83</v>
      </c>
      <c r="N210">
        <v>57</v>
      </c>
      <c r="O210">
        <v>3</v>
      </c>
      <c r="P210" t="s">
        <v>22</v>
      </c>
      <c r="Q210" s="4">
        <f t="shared" si="6"/>
        <v>2808000</v>
      </c>
      <c r="R210" s="4">
        <f t="shared" si="7"/>
        <v>540000</v>
      </c>
    </row>
    <row r="211" spans="1:18" x14ac:dyDescent="0.25">
      <c r="A211" t="s">
        <v>309</v>
      </c>
      <c r="B211" t="s">
        <v>215</v>
      </c>
      <c r="C211" t="s">
        <v>216</v>
      </c>
      <c r="D211" t="s">
        <v>18</v>
      </c>
      <c r="E211" t="s">
        <v>19</v>
      </c>
      <c r="F211" t="s">
        <v>20</v>
      </c>
      <c r="G211" t="s">
        <v>21</v>
      </c>
      <c r="H211" s="22">
        <v>45798</v>
      </c>
      <c r="I211">
        <v>209</v>
      </c>
      <c r="J211">
        <v>206</v>
      </c>
      <c r="K211">
        <v>120</v>
      </c>
      <c r="L211">
        <v>200</v>
      </c>
      <c r="M211">
        <v>258</v>
      </c>
      <c r="N211">
        <v>42</v>
      </c>
      <c r="O211">
        <v>19</v>
      </c>
      <c r="P211" t="s">
        <v>22</v>
      </c>
      <c r="Q211" s="4">
        <f t="shared" si="6"/>
        <v>41200</v>
      </c>
      <c r="R211" s="4">
        <f t="shared" si="7"/>
        <v>16480</v>
      </c>
    </row>
    <row r="212" spans="1:18" x14ac:dyDescent="0.25">
      <c r="A212" t="s">
        <v>310</v>
      </c>
      <c r="B212" t="s">
        <v>68</v>
      </c>
      <c r="C212" t="s">
        <v>69</v>
      </c>
      <c r="D212" t="s">
        <v>43</v>
      </c>
      <c r="E212" t="s">
        <v>80</v>
      </c>
      <c r="F212" t="s">
        <v>20</v>
      </c>
      <c r="G212" t="s">
        <v>21</v>
      </c>
      <c r="H212" s="22">
        <v>45777</v>
      </c>
      <c r="I212">
        <v>84</v>
      </c>
      <c r="J212">
        <v>77</v>
      </c>
      <c r="K212">
        <v>650</v>
      </c>
      <c r="L212">
        <v>1000</v>
      </c>
      <c r="N212">
        <v>63</v>
      </c>
      <c r="O212">
        <v>14</v>
      </c>
      <c r="P212" t="s">
        <v>22</v>
      </c>
      <c r="Q212" s="4">
        <f t="shared" si="6"/>
        <v>77000</v>
      </c>
      <c r="R212" s="4">
        <f t="shared" si="7"/>
        <v>26950</v>
      </c>
    </row>
    <row r="213" spans="1:18" x14ac:dyDescent="0.25">
      <c r="A213" t="s">
        <v>311</v>
      </c>
      <c r="B213" t="s">
        <v>75</v>
      </c>
      <c r="C213" t="s">
        <v>76</v>
      </c>
      <c r="D213" t="s">
        <v>31</v>
      </c>
      <c r="E213" t="s">
        <v>77</v>
      </c>
      <c r="F213" t="s">
        <v>33</v>
      </c>
      <c r="G213" t="s">
        <v>34</v>
      </c>
      <c r="H213" s="22">
        <v>45855</v>
      </c>
      <c r="I213">
        <v>122</v>
      </c>
      <c r="J213">
        <v>69</v>
      </c>
      <c r="K213">
        <v>900</v>
      </c>
      <c r="L213">
        <v>1500</v>
      </c>
      <c r="M213">
        <v>47</v>
      </c>
      <c r="N213">
        <v>54</v>
      </c>
      <c r="O213">
        <v>13</v>
      </c>
      <c r="P213" t="s">
        <v>51</v>
      </c>
      <c r="Q213" s="4">
        <f t="shared" si="6"/>
        <v>103500</v>
      </c>
      <c r="R213" s="4">
        <f t="shared" si="7"/>
        <v>41400</v>
      </c>
    </row>
    <row r="214" spans="1:18" x14ac:dyDescent="0.25">
      <c r="A214" t="s">
        <v>312</v>
      </c>
      <c r="B214" t="s">
        <v>68</v>
      </c>
      <c r="C214" t="s">
        <v>69</v>
      </c>
      <c r="D214" t="s">
        <v>43</v>
      </c>
      <c r="E214" t="s">
        <v>80</v>
      </c>
      <c r="F214" t="s">
        <v>71</v>
      </c>
      <c r="G214" t="s">
        <v>34</v>
      </c>
      <c r="H214" s="22">
        <v>45925</v>
      </c>
      <c r="I214">
        <v>87</v>
      </c>
      <c r="J214">
        <v>61</v>
      </c>
      <c r="K214">
        <v>650</v>
      </c>
      <c r="L214">
        <v>1000</v>
      </c>
      <c r="M214">
        <v>262</v>
      </c>
      <c r="N214">
        <v>57</v>
      </c>
      <c r="O214">
        <v>8</v>
      </c>
      <c r="P214" t="s">
        <v>22</v>
      </c>
      <c r="Q214" s="4">
        <f t="shared" si="6"/>
        <v>61000</v>
      </c>
      <c r="R214" s="4">
        <f t="shared" si="7"/>
        <v>21350</v>
      </c>
    </row>
    <row r="215" spans="1:18" x14ac:dyDescent="0.25">
      <c r="A215" t="s">
        <v>313</v>
      </c>
      <c r="B215" t="s">
        <v>60</v>
      </c>
      <c r="C215" t="s">
        <v>61</v>
      </c>
      <c r="D215" t="s">
        <v>31</v>
      </c>
      <c r="E215" t="s">
        <v>32</v>
      </c>
      <c r="F215" t="s">
        <v>20</v>
      </c>
      <c r="G215" t="s">
        <v>21</v>
      </c>
      <c r="H215" s="22">
        <v>46016</v>
      </c>
      <c r="I215">
        <v>79</v>
      </c>
      <c r="J215">
        <v>46</v>
      </c>
      <c r="K215">
        <v>800</v>
      </c>
      <c r="L215">
        <v>1200</v>
      </c>
      <c r="M215">
        <v>186</v>
      </c>
      <c r="N215">
        <v>45</v>
      </c>
      <c r="O215">
        <v>18</v>
      </c>
      <c r="P215" t="s">
        <v>93</v>
      </c>
      <c r="Q215" s="4">
        <f t="shared" si="6"/>
        <v>55200</v>
      </c>
      <c r="R215" s="4">
        <f t="shared" si="7"/>
        <v>18400</v>
      </c>
    </row>
    <row r="216" spans="1:18" x14ac:dyDescent="0.25">
      <c r="A216" t="s">
        <v>314</v>
      </c>
      <c r="B216" t="s">
        <v>29</v>
      </c>
      <c r="C216" t="s">
        <v>30</v>
      </c>
      <c r="D216" t="s">
        <v>31</v>
      </c>
      <c r="E216" t="s">
        <v>32</v>
      </c>
      <c r="F216" t="s">
        <v>45</v>
      </c>
      <c r="G216" t="s">
        <v>46</v>
      </c>
      <c r="H216" s="22">
        <v>45849</v>
      </c>
      <c r="I216">
        <v>32</v>
      </c>
      <c r="J216">
        <v>23</v>
      </c>
      <c r="K216">
        <v>450</v>
      </c>
      <c r="L216">
        <v>700</v>
      </c>
      <c r="M216">
        <v>240</v>
      </c>
      <c r="N216">
        <v>70</v>
      </c>
      <c r="O216">
        <v>4</v>
      </c>
      <c r="P216" t="s">
        <v>22</v>
      </c>
      <c r="Q216" s="4">
        <f t="shared" si="6"/>
        <v>16100</v>
      </c>
      <c r="R216" s="4">
        <f t="shared" si="7"/>
        <v>5750</v>
      </c>
    </row>
    <row r="217" spans="1:18" x14ac:dyDescent="0.25">
      <c r="A217" t="s">
        <v>315</v>
      </c>
      <c r="B217" t="s">
        <v>185</v>
      </c>
      <c r="C217" t="s">
        <v>186</v>
      </c>
      <c r="D217" t="s">
        <v>18</v>
      </c>
      <c r="E217" t="s">
        <v>19</v>
      </c>
      <c r="F217" t="s">
        <v>71</v>
      </c>
      <c r="G217" t="s">
        <v>34</v>
      </c>
      <c r="H217" s="22">
        <v>45923</v>
      </c>
      <c r="I217">
        <v>160</v>
      </c>
      <c r="J217">
        <v>5</v>
      </c>
      <c r="K217">
        <v>70</v>
      </c>
      <c r="L217">
        <v>120</v>
      </c>
      <c r="M217">
        <v>51</v>
      </c>
      <c r="N217">
        <v>22</v>
      </c>
      <c r="O217">
        <v>8</v>
      </c>
      <c r="P217" t="s">
        <v>72</v>
      </c>
      <c r="Q217" s="4">
        <f t="shared" si="6"/>
        <v>600</v>
      </c>
      <c r="R217" s="4">
        <f t="shared" si="7"/>
        <v>250</v>
      </c>
    </row>
    <row r="218" spans="1:18" x14ac:dyDescent="0.25">
      <c r="A218" t="s">
        <v>316</v>
      </c>
      <c r="B218" t="s">
        <v>215</v>
      </c>
      <c r="C218" t="s">
        <v>216</v>
      </c>
      <c r="D218" t="s">
        <v>18</v>
      </c>
      <c r="E218" t="s">
        <v>19</v>
      </c>
      <c r="F218" t="s">
        <v>20</v>
      </c>
      <c r="G218" t="s">
        <v>21</v>
      </c>
      <c r="H218" s="22">
        <v>45791</v>
      </c>
      <c r="I218">
        <v>204</v>
      </c>
      <c r="J218">
        <v>71</v>
      </c>
      <c r="K218">
        <v>120</v>
      </c>
      <c r="L218">
        <v>200</v>
      </c>
      <c r="M218">
        <v>221</v>
      </c>
      <c r="N218">
        <v>26</v>
      </c>
      <c r="O218">
        <v>16</v>
      </c>
      <c r="P218" t="s">
        <v>51</v>
      </c>
      <c r="Q218" s="4">
        <f t="shared" si="6"/>
        <v>14200</v>
      </c>
      <c r="R218" s="4">
        <f t="shared" si="7"/>
        <v>5680</v>
      </c>
    </row>
    <row r="219" spans="1:18" x14ac:dyDescent="0.25">
      <c r="A219" t="s">
        <v>317</v>
      </c>
      <c r="B219" t="s">
        <v>75</v>
      </c>
      <c r="C219" t="s">
        <v>76</v>
      </c>
      <c r="D219" t="s">
        <v>31</v>
      </c>
      <c r="E219" t="s">
        <v>77</v>
      </c>
      <c r="F219" t="s">
        <v>33</v>
      </c>
      <c r="G219" t="s">
        <v>34</v>
      </c>
      <c r="H219" s="22">
        <v>45831</v>
      </c>
      <c r="I219">
        <v>56</v>
      </c>
      <c r="J219">
        <v>11</v>
      </c>
      <c r="K219">
        <v>900</v>
      </c>
      <c r="L219">
        <v>1500</v>
      </c>
      <c r="M219">
        <v>196</v>
      </c>
      <c r="N219">
        <v>25</v>
      </c>
      <c r="O219">
        <v>2</v>
      </c>
      <c r="P219" t="s">
        <v>22</v>
      </c>
      <c r="Q219" s="4">
        <f t="shared" si="6"/>
        <v>16500</v>
      </c>
      <c r="R219" s="4">
        <f t="shared" si="7"/>
        <v>6600</v>
      </c>
    </row>
    <row r="220" spans="1:18" x14ac:dyDescent="0.25">
      <c r="A220" t="s">
        <v>318</v>
      </c>
      <c r="B220" t="s">
        <v>122</v>
      </c>
      <c r="C220" t="s">
        <v>123</v>
      </c>
      <c r="D220" t="s">
        <v>31</v>
      </c>
      <c r="E220" t="s">
        <v>124</v>
      </c>
      <c r="F220" t="s">
        <v>45</v>
      </c>
      <c r="G220" t="s">
        <v>46</v>
      </c>
      <c r="H220" s="22">
        <v>45690</v>
      </c>
      <c r="I220">
        <v>158</v>
      </c>
      <c r="J220">
        <v>101</v>
      </c>
      <c r="K220">
        <v>4500</v>
      </c>
      <c r="L220">
        <v>6500</v>
      </c>
      <c r="M220">
        <v>64</v>
      </c>
      <c r="N220">
        <v>65</v>
      </c>
      <c r="O220">
        <v>4</v>
      </c>
      <c r="P220" t="s">
        <v>22</v>
      </c>
      <c r="Q220" s="4">
        <f t="shared" si="6"/>
        <v>656500</v>
      </c>
      <c r="R220" s="4">
        <f t="shared" si="7"/>
        <v>202000</v>
      </c>
    </row>
    <row r="221" spans="1:18" x14ac:dyDescent="0.25">
      <c r="A221" t="s">
        <v>319</v>
      </c>
      <c r="B221" t="s">
        <v>60</v>
      </c>
      <c r="C221" t="s">
        <v>61</v>
      </c>
      <c r="D221" t="s">
        <v>31</v>
      </c>
      <c r="E221" t="s">
        <v>320</v>
      </c>
      <c r="F221" t="s">
        <v>45</v>
      </c>
      <c r="G221" t="s">
        <v>46</v>
      </c>
      <c r="H221" s="22">
        <v>45751</v>
      </c>
      <c r="I221">
        <v>119</v>
      </c>
      <c r="J221">
        <v>108</v>
      </c>
      <c r="K221">
        <v>800</v>
      </c>
      <c r="L221">
        <v>1200</v>
      </c>
      <c r="M221">
        <v>84</v>
      </c>
      <c r="N221">
        <v>43</v>
      </c>
      <c r="O221">
        <v>9</v>
      </c>
      <c r="P221" t="s">
        <v>72</v>
      </c>
      <c r="Q221" s="4">
        <f t="shared" si="6"/>
        <v>129600</v>
      </c>
      <c r="R221" s="4">
        <f t="shared" si="7"/>
        <v>43200</v>
      </c>
    </row>
    <row r="222" spans="1:18" x14ac:dyDescent="0.25">
      <c r="A222" t="s">
        <v>321</v>
      </c>
      <c r="B222" t="s">
        <v>194</v>
      </c>
      <c r="C222" t="s">
        <v>195</v>
      </c>
      <c r="D222" t="s">
        <v>43</v>
      </c>
      <c r="E222" t="s">
        <v>108</v>
      </c>
      <c r="F222" t="s">
        <v>33</v>
      </c>
      <c r="G222" t="s">
        <v>34</v>
      </c>
      <c r="H222" s="22">
        <v>45789</v>
      </c>
      <c r="I222">
        <v>95</v>
      </c>
      <c r="J222">
        <v>7</v>
      </c>
      <c r="K222">
        <v>7000</v>
      </c>
      <c r="L222">
        <v>9500</v>
      </c>
      <c r="M222">
        <v>17</v>
      </c>
      <c r="N222">
        <v>73</v>
      </c>
      <c r="O222">
        <v>3</v>
      </c>
      <c r="P222" t="s">
        <v>22</v>
      </c>
      <c r="Q222" s="4">
        <f t="shared" si="6"/>
        <v>66500</v>
      </c>
      <c r="R222" s="4">
        <f t="shared" si="7"/>
        <v>17500</v>
      </c>
    </row>
    <row r="223" spans="1:18" x14ac:dyDescent="0.25">
      <c r="A223" t="s">
        <v>322</v>
      </c>
      <c r="B223" t="s">
        <v>29</v>
      </c>
      <c r="C223" t="s">
        <v>30</v>
      </c>
      <c r="D223" t="s">
        <v>31</v>
      </c>
      <c r="E223" t="s">
        <v>32</v>
      </c>
      <c r="F223" t="s">
        <v>33</v>
      </c>
      <c r="G223" t="s">
        <v>34</v>
      </c>
      <c r="H223" s="22">
        <v>45732</v>
      </c>
      <c r="I223">
        <v>86</v>
      </c>
      <c r="J223">
        <v>0</v>
      </c>
      <c r="K223">
        <v>450</v>
      </c>
      <c r="L223">
        <v>700</v>
      </c>
      <c r="M223">
        <v>104</v>
      </c>
      <c r="N223">
        <v>63</v>
      </c>
      <c r="O223">
        <v>11</v>
      </c>
      <c r="P223" t="s">
        <v>22</v>
      </c>
      <c r="Q223" s="4">
        <f t="shared" si="6"/>
        <v>0</v>
      </c>
      <c r="R223" s="4">
        <f t="shared" si="7"/>
        <v>0</v>
      </c>
    </row>
    <row r="224" spans="1:18" x14ac:dyDescent="0.25">
      <c r="A224" t="s">
        <v>323</v>
      </c>
      <c r="B224" t="s">
        <v>37</v>
      </c>
      <c r="C224" t="s">
        <v>38</v>
      </c>
      <c r="D224" t="s">
        <v>31</v>
      </c>
      <c r="E224" t="s">
        <v>39</v>
      </c>
      <c r="F224" t="s">
        <v>45</v>
      </c>
      <c r="G224" t="s">
        <v>46</v>
      </c>
      <c r="H224" s="22">
        <v>45823</v>
      </c>
      <c r="I224">
        <v>100</v>
      </c>
      <c r="J224">
        <v>32</v>
      </c>
      <c r="K224">
        <v>8500</v>
      </c>
      <c r="L224">
        <v>11000</v>
      </c>
      <c r="M224">
        <v>202</v>
      </c>
      <c r="N224">
        <v>27</v>
      </c>
      <c r="O224">
        <v>13</v>
      </c>
      <c r="P224" t="s">
        <v>22</v>
      </c>
      <c r="Q224" s="4">
        <f t="shared" si="6"/>
        <v>352000</v>
      </c>
      <c r="R224" s="4">
        <f t="shared" si="7"/>
        <v>80000</v>
      </c>
    </row>
    <row r="225" spans="1:18" x14ac:dyDescent="0.25">
      <c r="A225" t="s">
        <v>324</v>
      </c>
      <c r="B225" t="s">
        <v>122</v>
      </c>
      <c r="C225" t="s">
        <v>123</v>
      </c>
      <c r="D225" t="s">
        <v>31</v>
      </c>
      <c r="E225" t="s">
        <v>124</v>
      </c>
      <c r="F225" t="s">
        <v>20</v>
      </c>
      <c r="G225" t="s">
        <v>21</v>
      </c>
      <c r="H225" s="22">
        <v>45731</v>
      </c>
      <c r="I225">
        <v>178</v>
      </c>
      <c r="J225">
        <v>3</v>
      </c>
      <c r="K225">
        <v>4500</v>
      </c>
      <c r="L225">
        <v>6500</v>
      </c>
      <c r="M225">
        <v>242</v>
      </c>
      <c r="N225">
        <v>65</v>
      </c>
      <c r="O225">
        <v>8</v>
      </c>
      <c r="P225" t="s">
        <v>51</v>
      </c>
      <c r="Q225" s="4">
        <f t="shared" si="6"/>
        <v>19500</v>
      </c>
      <c r="R225" s="4">
        <f t="shared" si="7"/>
        <v>6000</v>
      </c>
    </row>
    <row r="226" spans="1:18" x14ac:dyDescent="0.25">
      <c r="A226" t="s">
        <v>325</v>
      </c>
      <c r="B226" t="s">
        <v>48</v>
      </c>
      <c r="C226" t="s">
        <v>49</v>
      </c>
      <c r="D226" t="s">
        <v>26</v>
      </c>
      <c r="E226" t="s">
        <v>50</v>
      </c>
      <c r="F226" t="s">
        <v>33</v>
      </c>
      <c r="G226" t="s">
        <v>34</v>
      </c>
      <c r="H226" s="22">
        <v>45974</v>
      </c>
      <c r="I226">
        <v>100</v>
      </c>
      <c r="J226">
        <v>95</v>
      </c>
      <c r="K226">
        <v>120</v>
      </c>
      <c r="L226">
        <v>250</v>
      </c>
      <c r="M226">
        <v>74</v>
      </c>
      <c r="N226">
        <v>69</v>
      </c>
      <c r="O226">
        <v>16</v>
      </c>
      <c r="P226" t="s">
        <v>72</v>
      </c>
      <c r="Q226" s="4">
        <f t="shared" si="6"/>
        <v>23750</v>
      </c>
      <c r="R226" s="4">
        <f t="shared" si="7"/>
        <v>12350</v>
      </c>
    </row>
    <row r="227" spans="1:18" x14ac:dyDescent="0.25">
      <c r="A227" t="s">
        <v>326</v>
      </c>
      <c r="B227" t="s">
        <v>103</v>
      </c>
      <c r="C227" t="s">
        <v>104</v>
      </c>
      <c r="D227" t="s">
        <v>31</v>
      </c>
      <c r="E227" t="s">
        <v>32</v>
      </c>
      <c r="F227" t="s">
        <v>33</v>
      </c>
      <c r="G227" t="s">
        <v>34</v>
      </c>
      <c r="H227" s="22">
        <v>45889</v>
      </c>
      <c r="I227">
        <v>91</v>
      </c>
      <c r="J227">
        <v>41</v>
      </c>
      <c r="K227">
        <v>42000</v>
      </c>
      <c r="L227">
        <v>52000</v>
      </c>
      <c r="M227">
        <v>122</v>
      </c>
      <c r="N227">
        <v>50</v>
      </c>
      <c r="O227">
        <v>5</v>
      </c>
      <c r="P227" t="s">
        <v>22</v>
      </c>
      <c r="Q227" s="4">
        <f t="shared" si="6"/>
        <v>2132000</v>
      </c>
      <c r="R227" s="4">
        <f t="shared" si="7"/>
        <v>410000</v>
      </c>
    </row>
    <row r="228" spans="1:18" x14ac:dyDescent="0.25">
      <c r="A228" t="s">
        <v>327</v>
      </c>
      <c r="B228" t="s">
        <v>16</v>
      </c>
      <c r="C228" t="s">
        <v>17</v>
      </c>
      <c r="D228" t="s">
        <v>18</v>
      </c>
      <c r="E228" t="s">
        <v>19</v>
      </c>
      <c r="F228" t="s">
        <v>20</v>
      </c>
      <c r="G228" t="s">
        <v>21</v>
      </c>
      <c r="H228" s="22">
        <v>45687</v>
      </c>
      <c r="I228">
        <v>51</v>
      </c>
      <c r="J228">
        <v>45</v>
      </c>
      <c r="K228">
        <v>45</v>
      </c>
      <c r="L228">
        <v>80</v>
      </c>
      <c r="M228">
        <v>234</v>
      </c>
      <c r="N228">
        <v>55</v>
      </c>
      <c r="O228">
        <v>6</v>
      </c>
      <c r="P228" t="s">
        <v>22</v>
      </c>
      <c r="Q228" s="4">
        <f t="shared" si="6"/>
        <v>3600</v>
      </c>
      <c r="R228" s="4">
        <f t="shared" si="7"/>
        <v>1575</v>
      </c>
    </row>
    <row r="229" spans="1:18" x14ac:dyDescent="0.25">
      <c r="A229" t="s">
        <v>328</v>
      </c>
      <c r="B229" t="s">
        <v>75</v>
      </c>
      <c r="C229" t="s">
        <v>76</v>
      </c>
      <c r="D229" t="s">
        <v>31</v>
      </c>
      <c r="E229" t="s">
        <v>77</v>
      </c>
      <c r="F229" t="s">
        <v>45</v>
      </c>
      <c r="G229" t="s">
        <v>46</v>
      </c>
      <c r="H229" s="22">
        <v>45868</v>
      </c>
      <c r="I229">
        <v>68</v>
      </c>
      <c r="J229">
        <v>19</v>
      </c>
      <c r="K229">
        <v>900</v>
      </c>
      <c r="L229">
        <v>1500</v>
      </c>
      <c r="M229">
        <v>16</v>
      </c>
      <c r="N229">
        <v>37</v>
      </c>
      <c r="O229">
        <v>20</v>
      </c>
      <c r="P229" t="s">
        <v>93</v>
      </c>
      <c r="Q229" s="4">
        <f t="shared" si="6"/>
        <v>28500</v>
      </c>
      <c r="R229" s="4">
        <f t="shared" si="7"/>
        <v>11400</v>
      </c>
    </row>
    <row r="230" spans="1:18" x14ac:dyDescent="0.25">
      <c r="A230" t="s">
        <v>329</v>
      </c>
      <c r="B230" t="s">
        <v>194</v>
      </c>
      <c r="C230" t="s">
        <v>195</v>
      </c>
      <c r="D230" t="s">
        <v>43</v>
      </c>
      <c r="E230" t="s">
        <v>108</v>
      </c>
      <c r="F230" t="s">
        <v>71</v>
      </c>
      <c r="G230" t="s">
        <v>34</v>
      </c>
      <c r="H230" s="22">
        <v>45909</v>
      </c>
      <c r="I230">
        <v>32</v>
      </c>
      <c r="J230">
        <v>20</v>
      </c>
      <c r="K230">
        <v>7000</v>
      </c>
      <c r="L230">
        <v>9500</v>
      </c>
      <c r="M230">
        <v>236</v>
      </c>
      <c r="N230">
        <v>77</v>
      </c>
      <c r="O230">
        <v>17</v>
      </c>
      <c r="P230" t="s">
        <v>22</v>
      </c>
      <c r="Q230" s="4">
        <f t="shared" si="6"/>
        <v>190000</v>
      </c>
      <c r="R230" s="4">
        <f t="shared" si="7"/>
        <v>50000</v>
      </c>
    </row>
    <row r="231" spans="1:18" x14ac:dyDescent="0.25">
      <c r="A231" t="s">
        <v>330</v>
      </c>
      <c r="B231" t="s">
        <v>83</v>
      </c>
      <c r="C231" t="s">
        <v>84</v>
      </c>
      <c r="D231" t="s">
        <v>31</v>
      </c>
      <c r="E231" t="s">
        <v>86</v>
      </c>
      <c r="F231" t="s">
        <v>45</v>
      </c>
      <c r="G231" t="s">
        <v>46</v>
      </c>
      <c r="H231" s="22">
        <v>45804</v>
      </c>
      <c r="I231">
        <v>35</v>
      </c>
      <c r="J231">
        <v>16</v>
      </c>
      <c r="K231">
        <v>9000</v>
      </c>
      <c r="L231">
        <v>12500</v>
      </c>
      <c r="M231">
        <v>106</v>
      </c>
      <c r="N231">
        <v>43</v>
      </c>
      <c r="O231">
        <v>15</v>
      </c>
      <c r="P231" t="s">
        <v>72</v>
      </c>
      <c r="Q231" s="4">
        <f t="shared" si="6"/>
        <v>200000</v>
      </c>
      <c r="R231" s="4">
        <f t="shared" si="7"/>
        <v>56000</v>
      </c>
    </row>
    <row r="232" spans="1:18" x14ac:dyDescent="0.25">
      <c r="A232" t="s">
        <v>331</v>
      </c>
      <c r="B232" t="s">
        <v>48</v>
      </c>
      <c r="C232" t="s">
        <v>49</v>
      </c>
      <c r="D232" t="s">
        <v>26</v>
      </c>
      <c r="E232" t="s">
        <v>50</v>
      </c>
      <c r="F232" t="s">
        <v>33</v>
      </c>
      <c r="G232" t="s">
        <v>34</v>
      </c>
      <c r="H232" s="22">
        <v>45857</v>
      </c>
      <c r="I232">
        <v>79</v>
      </c>
      <c r="J232">
        <v>53</v>
      </c>
      <c r="K232">
        <v>120</v>
      </c>
      <c r="L232">
        <v>250</v>
      </c>
      <c r="M232">
        <v>86</v>
      </c>
      <c r="N232">
        <v>23</v>
      </c>
      <c r="O232">
        <v>11</v>
      </c>
      <c r="P232" t="s">
        <v>22</v>
      </c>
      <c r="Q232" s="4">
        <f t="shared" si="6"/>
        <v>13250</v>
      </c>
      <c r="R232" s="4">
        <f t="shared" si="7"/>
        <v>6890</v>
      </c>
    </row>
    <row r="233" spans="1:18" x14ac:dyDescent="0.25">
      <c r="A233" t="s">
        <v>332</v>
      </c>
      <c r="B233" t="s">
        <v>122</v>
      </c>
      <c r="C233" t="s">
        <v>123</v>
      </c>
      <c r="D233" t="s">
        <v>31</v>
      </c>
      <c r="E233" t="s">
        <v>124</v>
      </c>
      <c r="F233" t="s">
        <v>71</v>
      </c>
      <c r="G233" t="s">
        <v>34</v>
      </c>
      <c r="H233" s="22">
        <v>45919</v>
      </c>
      <c r="I233">
        <v>40</v>
      </c>
      <c r="J233">
        <v>28</v>
      </c>
      <c r="K233">
        <v>4500</v>
      </c>
      <c r="L233">
        <v>6500</v>
      </c>
      <c r="M233">
        <v>3</v>
      </c>
      <c r="N233">
        <v>70</v>
      </c>
      <c r="O233">
        <v>18</v>
      </c>
      <c r="P233" t="s">
        <v>22</v>
      </c>
      <c r="Q233" s="4">
        <f t="shared" si="6"/>
        <v>182000</v>
      </c>
      <c r="R233" s="4">
        <f t="shared" si="7"/>
        <v>56000</v>
      </c>
    </row>
    <row r="234" spans="1:18" x14ac:dyDescent="0.25">
      <c r="A234" t="s">
        <v>333</v>
      </c>
      <c r="B234" t="s">
        <v>56</v>
      </c>
      <c r="C234" t="s">
        <v>57</v>
      </c>
      <c r="D234" t="s">
        <v>26</v>
      </c>
      <c r="E234" t="s">
        <v>58</v>
      </c>
      <c r="F234" t="s">
        <v>33</v>
      </c>
      <c r="G234" t="s">
        <v>34</v>
      </c>
      <c r="H234" s="22">
        <v>45867</v>
      </c>
      <c r="I234">
        <v>60</v>
      </c>
      <c r="J234">
        <v>17</v>
      </c>
      <c r="K234">
        <v>900</v>
      </c>
      <c r="L234">
        <v>1400</v>
      </c>
      <c r="M234">
        <v>95</v>
      </c>
      <c r="N234">
        <v>28</v>
      </c>
      <c r="O234">
        <v>7</v>
      </c>
      <c r="P234" t="s">
        <v>22</v>
      </c>
      <c r="Q234" s="4">
        <f t="shared" si="6"/>
        <v>23800</v>
      </c>
      <c r="R234" s="4">
        <f t="shared" si="7"/>
        <v>8500</v>
      </c>
    </row>
    <row r="235" spans="1:18" x14ac:dyDescent="0.25">
      <c r="A235" t="s">
        <v>334</v>
      </c>
      <c r="B235" t="s">
        <v>194</v>
      </c>
      <c r="C235" t="s">
        <v>195</v>
      </c>
      <c r="D235" t="s">
        <v>43</v>
      </c>
      <c r="E235" t="s">
        <v>108</v>
      </c>
      <c r="F235" t="s">
        <v>20</v>
      </c>
      <c r="G235" t="s">
        <v>21</v>
      </c>
      <c r="H235" s="22">
        <v>45758</v>
      </c>
      <c r="I235">
        <v>25</v>
      </c>
      <c r="J235">
        <v>2</v>
      </c>
      <c r="K235">
        <v>7000</v>
      </c>
      <c r="L235">
        <v>9500</v>
      </c>
      <c r="M235">
        <v>256</v>
      </c>
      <c r="N235">
        <v>68</v>
      </c>
      <c r="O235">
        <v>10</v>
      </c>
      <c r="P235" t="s">
        <v>22</v>
      </c>
      <c r="Q235" s="4">
        <f t="shared" si="6"/>
        <v>19000</v>
      </c>
      <c r="R235" s="4">
        <f t="shared" si="7"/>
        <v>5000</v>
      </c>
    </row>
    <row r="236" spans="1:18" x14ac:dyDescent="0.25">
      <c r="A236" t="s">
        <v>335</v>
      </c>
      <c r="B236" t="s">
        <v>53</v>
      </c>
      <c r="C236" t="s">
        <v>54</v>
      </c>
      <c r="D236" t="s">
        <v>18</v>
      </c>
      <c r="E236" t="s">
        <v>44</v>
      </c>
      <c r="F236" t="s">
        <v>20</v>
      </c>
      <c r="G236" t="s">
        <v>21</v>
      </c>
      <c r="H236" s="22">
        <v>45956</v>
      </c>
      <c r="I236">
        <v>83</v>
      </c>
      <c r="J236">
        <v>25</v>
      </c>
      <c r="K236" s="3">
        <v>42000</v>
      </c>
      <c r="L236">
        <v>1800</v>
      </c>
      <c r="M236">
        <v>8</v>
      </c>
      <c r="N236">
        <v>24</v>
      </c>
      <c r="O236">
        <v>18</v>
      </c>
      <c r="P236" t="s">
        <v>22</v>
      </c>
      <c r="Q236" s="4">
        <f t="shared" si="6"/>
        <v>45000</v>
      </c>
      <c r="R236" s="4">
        <f t="shared" si="7"/>
        <v>-1005000</v>
      </c>
    </row>
    <row r="237" spans="1:18" x14ac:dyDescent="0.25">
      <c r="A237" t="s">
        <v>336</v>
      </c>
      <c r="B237" t="s">
        <v>24</v>
      </c>
      <c r="C237" t="s">
        <v>25</v>
      </c>
      <c r="D237" t="s">
        <v>26</v>
      </c>
      <c r="E237" t="s">
        <v>27</v>
      </c>
      <c r="F237" t="s">
        <v>71</v>
      </c>
      <c r="G237" t="s">
        <v>34</v>
      </c>
      <c r="H237" s="22">
        <v>45829</v>
      </c>
      <c r="I237">
        <v>77</v>
      </c>
      <c r="J237">
        <v>63</v>
      </c>
      <c r="K237">
        <v>900</v>
      </c>
      <c r="L237">
        <v>1400</v>
      </c>
      <c r="M237">
        <v>49</v>
      </c>
      <c r="N237">
        <v>20</v>
      </c>
      <c r="O237">
        <v>15</v>
      </c>
      <c r="P237" t="s">
        <v>93</v>
      </c>
      <c r="Q237" s="4">
        <f t="shared" si="6"/>
        <v>88200</v>
      </c>
      <c r="R237" s="4">
        <f t="shared" si="7"/>
        <v>31500</v>
      </c>
    </row>
    <row r="238" spans="1:18" x14ac:dyDescent="0.25">
      <c r="A238" t="s">
        <v>337</v>
      </c>
      <c r="B238" t="s">
        <v>106</v>
      </c>
      <c r="C238" t="s">
        <v>107</v>
      </c>
      <c r="D238" t="s">
        <v>43</v>
      </c>
      <c r="E238" t="s">
        <v>108</v>
      </c>
      <c r="F238" t="s">
        <v>71</v>
      </c>
      <c r="G238" t="s">
        <v>34</v>
      </c>
      <c r="H238" s="22">
        <v>45785</v>
      </c>
      <c r="I238">
        <v>52</v>
      </c>
      <c r="J238">
        <v>36</v>
      </c>
      <c r="K238">
        <v>5500</v>
      </c>
      <c r="L238">
        <v>7500</v>
      </c>
      <c r="M238">
        <v>190</v>
      </c>
      <c r="N238">
        <v>22</v>
      </c>
      <c r="O238">
        <v>7</v>
      </c>
      <c r="P238" t="s">
        <v>51</v>
      </c>
      <c r="Q238" s="4">
        <f t="shared" si="6"/>
        <v>270000</v>
      </c>
      <c r="R238" s="4">
        <f t="shared" si="7"/>
        <v>72000</v>
      </c>
    </row>
    <row r="239" spans="1:18" x14ac:dyDescent="0.25">
      <c r="A239" t="s">
        <v>338</v>
      </c>
      <c r="B239" t="s">
        <v>185</v>
      </c>
      <c r="C239" t="s">
        <v>186</v>
      </c>
      <c r="D239" t="s">
        <v>18</v>
      </c>
      <c r="E239" t="s">
        <v>19</v>
      </c>
      <c r="F239" t="s">
        <v>45</v>
      </c>
      <c r="G239" t="s">
        <v>46</v>
      </c>
      <c r="H239" s="22">
        <v>45922</v>
      </c>
      <c r="I239">
        <v>23</v>
      </c>
      <c r="J239">
        <v>3</v>
      </c>
      <c r="K239">
        <v>70</v>
      </c>
      <c r="L239">
        <v>120</v>
      </c>
      <c r="M239">
        <v>185</v>
      </c>
      <c r="N239">
        <v>65</v>
      </c>
      <c r="O239">
        <v>9</v>
      </c>
      <c r="P239" t="s">
        <v>51</v>
      </c>
      <c r="Q239" s="4">
        <f t="shared" si="6"/>
        <v>360</v>
      </c>
      <c r="R239" s="4">
        <f t="shared" si="7"/>
        <v>150</v>
      </c>
    </row>
    <row r="240" spans="1:18" x14ac:dyDescent="0.25">
      <c r="A240" t="s">
        <v>339</v>
      </c>
      <c r="B240" t="s">
        <v>68</v>
      </c>
      <c r="C240" t="s">
        <v>69</v>
      </c>
      <c r="D240" t="s">
        <v>43</v>
      </c>
      <c r="E240" t="s">
        <v>80</v>
      </c>
      <c r="F240" t="s">
        <v>33</v>
      </c>
      <c r="G240" t="s">
        <v>34</v>
      </c>
      <c r="H240" s="22">
        <v>45807</v>
      </c>
      <c r="I240">
        <v>32</v>
      </c>
      <c r="J240">
        <v>31</v>
      </c>
      <c r="K240">
        <v>650</v>
      </c>
      <c r="L240">
        <v>1000</v>
      </c>
      <c r="M240">
        <v>231</v>
      </c>
      <c r="N240">
        <v>52</v>
      </c>
      <c r="O240">
        <v>2</v>
      </c>
      <c r="P240" t="s">
        <v>22</v>
      </c>
      <c r="Q240" s="4">
        <f t="shared" si="6"/>
        <v>31000</v>
      </c>
      <c r="R240" s="4">
        <f t="shared" si="7"/>
        <v>10850</v>
      </c>
    </row>
    <row r="241" spans="1:18" x14ac:dyDescent="0.25">
      <c r="A241" t="s">
        <v>340</v>
      </c>
      <c r="B241" t="s">
        <v>103</v>
      </c>
      <c r="C241" t="s">
        <v>104</v>
      </c>
      <c r="D241" t="s">
        <v>31</v>
      </c>
      <c r="E241" t="s">
        <v>32</v>
      </c>
      <c r="F241" t="s">
        <v>20</v>
      </c>
      <c r="G241" t="s">
        <v>21</v>
      </c>
      <c r="H241" s="22">
        <v>45703</v>
      </c>
      <c r="I241">
        <v>62</v>
      </c>
      <c r="J241">
        <v>39</v>
      </c>
      <c r="K241">
        <v>42000</v>
      </c>
      <c r="L241">
        <v>52000</v>
      </c>
      <c r="M241">
        <v>96</v>
      </c>
      <c r="N241">
        <v>30</v>
      </c>
      <c r="O241">
        <v>5</v>
      </c>
      <c r="P241" t="s">
        <v>22</v>
      </c>
      <c r="Q241" s="4">
        <f t="shared" si="6"/>
        <v>2028000</v>
      </c>
      <c r="R241" s="4">
        <f t="shared" si="7"/>
        <v>390000</v>
      </c>
    </row>
    <row r="242" spans="1:18" x14ac:dyDescent="0.25">
      <c r="A242" t="s">
        <v>341</v>
      </c>
      <c r="B242" t="s">
        <v>103</v>
      </c>
      <c r="C242" t="s">
        <v>104</v>
      </c>
      <c r="D242" t="s">
        <v>31</v>
      </c>
      <c r="E242" t="s">
        <v>32</v>
      </c>
      <c r="F242" t="s">
        <v>33</v>
      </c>
      <c r="G242" t="s">
        <v>34</v>
      </c>
      <c r="H242" s="22">
        <v>46015</v>
      </c>
      <c r="I242">
        <v>194</v>
      </c>
      <c r="J242">
        <v>49</v>
      </c>
      <c r="K242">
        <v>42000</v>
      </c>
      <c r="L242">
        <v>52000</v>
      </c>
      <c r="M242">
        <v>136</v>
      </c>
      <c r="N242">
        <v>21</v>
      </c>
      <c r="O242">
        <v>20</v>
      </c>
      <c r="P242" t="s">
        <v>22</v>
      </c>
      <c r="Q242" s="4">
        <f t="shared" si="6"/>
        <v>2548000</v>
      </c>
      <c r="R242" s="4">
        <f t="shared" si="7"/>
        <v>490000</v>
      </c>
    </row>
    <row r="243" spans="1:18" x14ac:dyDescent="0.25">
      <c r="A243" t="s">
        <v>342</v>
      </c>
      <c r="B243" t="s">
        <v>122</v>
      </c>
      <c r="C243" t="s">
        <v>123</v>
      </c>
      <c r="D243" t="s">
        <v>31</v>
      </c>
      <c r="E243" t="s">
        <v>124</v>
      </c>
      <c r="F243" t="s">
        <v>33</v>
      </c>
      <c r="G243" t="s">
        <v>34</v>
      </c>
      <c r="H243" s="22">
        <v>45837</v>
      </c>
      <c r="I243">
        <v>29</v>
      </c>
      <c r="J243">
        <v>22</v>
      </c>
      <c r="K243">
        <v>4500</v>
      </c>
      <c r="L243">
        <v>6500</v>
      </c>
      <c r="M243">
        <v>94</v>
      </c>
      <c r="N243">
        <v>22</v>
      </c>
      <c r="O243">
        <v>10</v>
      </c>
      <c r="P243" t="s">
        <v>22</v>
      </c>
      <c r="Q243" s="4">
        <f t="shared" si="6"/>
        <v>143000</v>
      </c>
      <c r="R243" s="4">
        <f t="shared" si="7"/>
        <v>44000</v>
      </c>
    </row>
    <row r="244" spans="1:18" x14ac:dyDescent="0.25">
      <c r="A244" t="s">
        <v>343</v>
      </c>
      <c r="B244" t="s">
        <v>215</v>
      </c>
      <c r="C244" t="s">
        <v>216</v>
      </c>
      <c r="D244" t="s">
        <v>18</v>
      </c>
      <c r="E244" t="s">
        <v>19</v>
      </c>
      <c r="F244" t="s">
        <v>71</v>
      </c>
      <c r="G244" t="s">
        <v>34</v>
      </c>
      <c r="H244" s="22">
        <v>45714</v>
      </c>
      <c r="I244">
        <v>36</v>
      </c>
      <c r="J244">
        <v>7</v>
      </c>
      <c r="K244">
        <v>120</v>
      </c>
      <c r="L244">
        <v>200</v>
      </c>
      <c r="M244">
        <v>210</v>
      </c>
      <c r="N244">
        <v>76</v>
      </c>
      <c r="O244">
        <v>6</v>
      </c>
      <c r="P244" t="s">
        <v>22</v>
      </c>
      <c r="Q244" s="4">
        <f t="shared" si="6"/>
        <v>1400</v>
      </c>
      <c r="R244" s="4">
        <f t="shared" si="7"/>
        <v>560</v>
      </c>
    </row>
    <row r="245" spans="1:18" x14ac:dyDescent="0.25">
      <c r="A245" t="s">
        <v>344</v>
      </c>
      <c r="B245" t="s">
        <v>48</v>
      </c>
      <c r="C245" t="s">
        <v>49</v>
      </c>
      <c r="D245" t="s">
        <v>26</v>
      </c>
      <c r="E245" t="s">
        <v>50</v>
      </c>
      <c r="F245" t="s">
        <v>20</v>
      </c>
      <c r="G245" t="s">
        <v>21</v>
      </c>
      <c r="H245" s="22">
        <v>46000</v>
      </c>
      <c r="I245">
        <v>151</v>
      </c>
      <c r="J245">
        <v>118</v>
      </c>
      <c r="K245">
        <v>120</v>
      </c>
      <c r="L245">
        <v>250</v>
      </c>
      <c r="M245">
        <v>206</v>
      </c>
      <c r="N245">
        <v>30</v>
      </c>
      <c r="O245">
        <v>2</v>
      </c>
      <c r="P245" t="s">
        <v>93</v>
      </c>
      <c r="Q245" s="4">
        <f t="shared" si="6"/>
        <v>29500</v>
      </c>
      <c r="R245" s="4">
        <f t="shared" si="7"/>
        <v>15340</v>
      </c>
    </row>
    <row r="246" spans="1:18" x14ac:dyDescent="0.25">
      <c r="A246" t="s">
        <v>345</v>
      </c>
      <c r="B246" t="s">
        <v>56</v>
      </c>
      <c r="C246" t="s">
        <v>57</v>
      </c>
      <c r="D246" t="s">
        <v>26</v>
      </c>
      <c r="E246" t="s">
        <v>58</v>
      </c>
      <c r="F246" t="s">
        <v>33</v>
      </c>
      <c r="G246" t="s">
        <v>34</v>
      </c>
      <c r="H246" s="22">
        <v>45860</v>
      </c>
      <c r="I246">
        <v>18</v>
      </c>
      <c r="J246">
        <v>11</v>
      </c>
      <c r="K246">
        <v>900</v>
      </c>
      <c r="L246">
        <v>1400</v>
      </c>
      <c r="M246">
        <v>176</v>
      </c>
      <c r="N246">
        <v>45</v>
      </c>
      <c r="O246">
        <v>9</v>
      </c>
      <c r="P246" t="s">
        <v>101</v>
      </c>
      <c r="Q246" s="4">
        <f t="shared" si="6"/>
        <v>15400</v>
      </c>
      <c r="R246" s="4">
        <f t="shared" si="7"/>
        <v>5500</v>
      </c>
    </row>
    <row r="247" spans="1:18" x14ac:dyDescent="0.25">
      <c r="A247" t="s">
        <v>346</v>
      </c>
      <c r="B247" t="s">
        <v>215</v>
      </c>
      <c r="C247" t="s">
        <v>216</v>
      </c>
      <c r="D247" t="s">
        <v>18</v>
      </c>
      <c r="E247" t="s">
        <v>19</v>
      </c>
      <c r="F247" t="s">
        <v>71</v>
      </c>
      <c r="G247" t="s">
        <v>34</v>
      </c>
      <c r="H247" s="22">
        <v>45863</v>
      </c>
      <c r="I247">
        <v>148</v>
      </c>
      <c r="J247">
        <v>13</v>
      </c>
      <c r="K247">
        <v>120</v>
      </c>
      <c r="L247">
        <v>200</v>
      </c>
      <c r="M247">
        <v>169</v>
      </c>
      <c r="N247">
        <v>53</v>
      </c>
      <c r="O247">
        <v>6</v>
      </c>
      <c r="P247" t="s">
        <v>72</v>
      </c>
      <c r="Q247" s="4">
        <f t="shared" si="6"/>
        <v>2600</v>
      </c>
      <c r="R247" s="4">
        <f t="shared" si="7"/>
        <v>1040</v>
      </c>
    </row>
    <row r="248" spans="1:18" x14ac:dyDescent="0.25">
      <c r="A248" t="s">
        <v>347</v>
      </c>
      <c r="B248" t="s">
        <v>48</v>
      </c>
      <c r="C248" t="s">
        <v>49</v>
      </c>
      <c r="D248" t="s">
        <v>26</v>
      </c>
      <c r="E248" t="s">
        <v>50</v>
      </c>
      <c r="F248" t="s">
        <v>45</v>
      </c>
      <c r="G248" t="s">
        <v>46</v>
      </c>
      <c r="H248" s="22">
        <v>45997</v>
      </c>
      <c r="I248">
        <v>166</v>
      </c>
      <c r="J248">
        <v>2</v>
      </c>
      <c r="K248">
        <v>120</v>
      </c>
      <c r="L248">
        <v>250</v>
      </c>
      <c r="M248">
        <v>189</v>
      </c>
      <c r="N248">
        <v>26</v>
      </c>
      <c r="O248">
        <v>18</v>
      </c>
      <c r="P248" t="s">
        <v>22</v>
      </c>
      <c r="Q248" s="4">
        <f t="shared" si="6"/>
        <v>500</v>
      </c>
      <c r="R248" s="4">
        <f t="shared" si="7"/>
        <v>260</v>
      </c>
    </row>
    <row r="249" spans="1:18" x14ac:dyDescent="0.25">
      <c r="A249" t="s">
        <v>348</v>
      </c>
      <c r="B249" t="s">
        <v>56</v>
      </c>
      <c r="C249" t="s">
        <v>57</v>
      </c>
      <c r="D249" t="s">
        <v>26</v>
      </c>
      <c r="E249" t="s">
        <v>58</v>
      </c>
      <c r="F249" t="s">
        <v>20</v>
      </c>
      <c r="G249" t="s">
        <v>21</v>
      </c>
      <c r="H249" s="22">
        <v>45916</v>
      </c>
      <c r="I249">
        <v>176</v>
      </c>
      <c r="J249">
        <v>5</v>
      </c>
      <c r="K249">
        <v>900</v>
      </c>
      <c r="L249">
        <v>1400</v>
      </c>
      <c r="M249">
        <v>118</v>
      </c>
      <c r="N249">
        <v>28</v>
      </c>
      <c r="O249">
        <v>15</v>
      </c>
      <c r="P249" t="s">
        <v>72</v>
      </c>
      <c r="Q249" s="4">
        <f t="shared" si="6"/>
        <v>7000</v>
      </c>
      <c r="R249" s="4">
        <f t="shared" si="7"/>
        <v>2500</v>
      </c>
    </row>
    <row r="250" spans="1:18" x14ac:dyDescent="0.25">
      <c r="A250" t="s">
        <v>349</v>
      </c>
      <c r="B250" t="s">
        <v>29</v>
      </c>
      <c r="C250" t="s">
        <v>30</v>
      </c>
      <c r="D250" t="s">
        <v>31</v>
      </c>
      <c r="E250" t="s">
        <v>32</v>
      </c>
      <c r="F250" t="s">
        <v>33</v>
      </c>
      <c r="G250" t="s">
        <v>34</v>
      </c>
      <c r="H250" s="22">
        <v>45675</v>
      </c>
      <c r="I250">
        <v>169</v>
      </c>
      <c r="J250">
        <v>158</v>
      </c>
      <c r="K250">
        <v>450</v>
      </c>
      <c r="L250">
        <v>700</v>
      </c>
      <c r="M250">
        <v>139</v>
      </c>
      <c r="N250">
        <v>78</v>
      </c>
      <c r="O250">
        <v>10</v>
      </c>
      <c r="P250" t="s">
        <v>22</v>
      </c>
      <c r="Q250" s="4">
        <f t="shared" si="6"/>
        <v>110600</v>
      </c>
      <c r="R250" s="4">
        <f t="shared" si="7"/>
        <v>39500</v>
      </c>
    </row>
    <row r="251" spans="1:18" x14ac:dyDescent="0.25">
      <c r="A251" t="s">
        <v>350</v>
      </c>
      <c r="B251" t="s">
        <v>53</v>
      </c>
      <c r="C251" t="s">
        <v>54</v>
      </c>
      <c r="D251" t="s">
        <v>18</v>
      </c>
      <c r="E251" t="s">
        <v>44</v>
      </c>
      <c r="F251" t="s">
        <v>33</v>
      </c>
      <c r="G251" t="s">
        <v>34</v>
      </c>
      <c r="H251" s="22">
        <v>45786</v>
      </c>
      <c r="I251">
        <v>36</v>
      </c>
      <c r="J251">
        <v>33</v>
      </c>
      <c r="K251">
        <v>1200</v>
      </c>
      <c r="L251">
        <v>1800</v>
      </c>
      <c r="M251">
        <v>9</v>
      </c>
      <c r="N251">
        <v>47</v>
      </c>
      <c r="O251">
        <v>9</v>
      </c>
      <c r="P251" t="s">
        <v>72</v>
      </c>
      <c r="Q251" s="4">
        <f t="shared" si="6"/>
        <v>59400</v>
      </c>
      <c r="R251" s="4">
        <f t="shared" si="7"/>
        <v>19800</v>
      </c>
    </row>
    <row r="252" spans="1:18" x14ac:dyDescent="0.25">
      <c r="A252" t="s">
        <v>351</v>
      </c>
      <c r="B252" t="s">
        <v>37</v>
      </c>
      <c r="C252" t="s">
        <v>38</v>
      </c>
      <c r="D252" t="s">
        <v>31</v>
      </c>
      <c r="E252" t="s">
        <v>39</v>
      </c>
      <c r="F252" t="s">
        <v>71</v>
      </c>
      <c r="G252" t="s">
        <v>34</v>
      </c>
      <c r="H252" s="22">
        <v>45835</v>
      </c>
      <c r="I252">
        <v>170</v>
      </c>
      <c r="J252">
        <v>42</v>
      </c>
      <c r="K252">
        <v>8500</v>
      </c>
      <c r="L252">
        <v>11000</v>
      </c>
      <c r="M252">
        <v>64</v>
      </c>
      <c r="N252">
        <v>23</v>
      </c>
      <c r="O252">
        <v>18</v>
      </c>
      <c r="P252" t="s">
        <v>93</v>
      </c>
      <c r="Q252" s="4">
        <f t="shared" si="6"/>
        <v>462000</v>
      </c>
      <c r="R252" s="4">
        <f t="shared" si="7"/>
        <v>105000</v>
      </c>
    </row>
    <row r="253" spans="1:18" x14ac:dyDescent="0.25">
      <c r="A253" t="s">
        <v>352</v>
      </c>
      <c r="B253" t="s">
        <v>122</v>
      </c>
      <c r="C253" t="s">
        <v>123</v>
      </c>
      <c r="D253" t="s">
        <v>31</v>
      </c>
      <c r="E253" t="s">
        <v>124</v>
      </c>
      <c r="F253" t="s">
        <v>20</v>
      </c>
      <c r="G253" t="s">
        <v>21</v>
      </c>
      <c r="H253" s="22">
        <v>45883</v>
      </c>
      <c r="I253">
        <v>36</v>
      </c>
      <c r="J253">
        <v>32</v>
      </c>
      <c r="K253">
        <v>4500</v>
      </c>
      <c r="L253">
        <v>6500</v>
      </c>
      <c r="M253">
        <v>70</v>
      </c>
      <c r="N253">
        <v>76</v>
      </c>
      <c r="O253">
        <v>11</v>
      </c>
      <c r="P253" t="s">
        <v>93</v>
      </c>
      <c r="Q253" s="4">
        <f t="shared" si="6"/>
        <v>208000</v>
      </c>
      <c r="R253" s="4">
        <f t="shared" si="7"/>
        <v>64000</v>
      </c>
    </row>
    <row r="254" spans="1:18" x14ac:dyDescent="0.25">
      <c r="A254" t="s">
        <v>353</v>
      </c>
      <c r="B254" t="s">
        <v>75</v>
      </c>
      <c r="C254" t="s">
        <v>76</v>
      </c>
      <c r="D254" t="s">
        <v>31</v>
      </c>
      <c r="E254" t="s">
        <v>77</v>
      </c>
      <c r="F254" t="s">
        <v>20</v>
      </c>
      <c r="G254" t="s">
        <v>21</v>
      </c>
      <c r="H254" s="22">
        <v>45702</v>
      </c>
      <c r="I254">
        <v>194</v>
      </c>
      <c r="J254">
        <v>139</v>
      </c>
      <c r="K254">
        <v>900</v>
      </c>
      <c r="L254">
        <v>1500</v>
      </c>
      <c r="M254">
        <v>150</v>
      </c>
      <c r="N254">
        <v>73</v>
      </c>
      <c r="O254">
        <v>16</v>
      </c>
      <c r="P254" t="s">
        <v>22</v>
      </c>
      <c r="Q254" s="4">
        <f t="shared" si="6"/>
        <v>208500</v>
      </c>
      <c r="R254" s="4">
        <f t="shared" si="7"/>
        <v>83400</v>
      </c>
    </row>
    <row r="255" spans="1:18" x14ac:dyDescent="0.25">
      <c r="A255" t="s">
        <v>354</v>
      </c>
      <c r="B255" t="s">
        <v>68</v>
      </c>
      <c r="C255" t="s">
        <v>69</v>
      </c>
      <c r="D255" t="s">
        <v>43</v>
      </c>
      <c r="E255" t="s">
        <v>80</v>
      </c>
      <c r="F255" t="s">
        <v>20</v>
      </c>
      <c r="G255" t="s">
        <v>21</v>
      </c>
      <c r="H255" s="22">
        <v>45938</v>
      </c>
      <c r="I255">
        <v>186</v>
      </c>
      <c r="J255">
        <v>93</v>
      </c>
      <c r="K255">
        <v>650</v>
      </c>
      <c r="L255">
        <v>1000</v>
      </c>
      <c r="M255">
        <v>238</v>
      </c>
      <c r="N255">
        <v>77</v>
      </c>
      <c r="O255">
        <v>19</v>
      </c>
      <c r="P255" t="s">
        <v>22</v>
      </c>
      <c r="Q255" s="4">
        <f t="shared" si="6"/>
        <v>93000</v>
      </c>
      <c r="R255" s="4">
        <f t="shared" si="7"/>
        <v>32550</v>
      </c>
    </row>
    <row r="256" spans="1:18" x14ac:dyDescent="0.25">
      <c r="A256" t="s">
        <v>355</v>
      </c>
      <c r="B256" t="s">
        <v>88</v>
      </c>
      <c r="C256" t="s">
        <v>89</v>
      </c>
      <c r="D256" t="s">
        <v>31</v>
      </c>
      <c r="E256" t="s">
        <v>90</v>
      </c>
      <c r="F256" t="s">
        <v>71</v>
      </c>
      <c r="G256" t="s">
        <v>34</v>
      </c>
      <c r="H256" s="22">
        <v>45673</v>
      </c>
      <c r="I256">
        <v>67</v>
      </c>
      <c r="J256">
        <v>42</v>
      </c>
      <c r="K256">
        <v>1600</v>
      </c>
      <c r="L256">
        <v>2500</v>
      </c>
      <c r="M256">
        <v>116</v>
      </c>
      <c r="N256">
        <v>32</v>
      </c>
      <c r="O256">
        <v>18</v>
      </c>
      <c r="P256" t="s">
        <v>22</v>
      </c>
      <c r="Q256" s="4">
        <f t="shared" si="6"/>
        <v>105000</v>
      </c>
      <c r="R256" s="4">
        <f t="shared" si="7"/>
        <v>37800</v>
      </c>
    </row>
    <row r="257" spans="1:24" x14ac:dyDescent="0.25">
      <c r="A257" t="s">
        <v>356</v>
      </c>
      <c r="B257" t="s">
        <v>103</v>
      </c>
      <c r="C257" t="s">
        <v>104</v>
      </c>
      <c r="D257" t="s">
        <v>31</v>
      </c>
      <c r="E257" t="s">
        <v>32</v>
      </c>
      <c r="F257" t="s">
        <v>71</v>
      </c>
      <c r="G257" t="s">
        <v>34</v>
      </c>
      <c r="H257" s="22">
        <v>45741</v>
      </c>
      <c r="I257">
        <v>66</v>
      </c>
      <c r="J257">
        <v>41</v>
      </c>
      <c r="K257">
        <v>42000</v>
      </c>
      <c r="L257">
        <v>52000</v>
      </c>
      <c r="M257">
        <v>169</v>
      </c>
      <c r="N257">
        <v>51</v>
      </c>
      <c r="O257">
        <v>10</v>
      </c>
      <c r="P257" t="s">
        <v>22</v>
      </c>
      <c r="Q257" s="4">
        <f t="shared" si="6"/>
        <v>2132000</v>
      </c>
      <c r="R257" s="4">
        <f t="shared" si="7"/>
        <v>410000</v>
      </c>
    </row>
    <row r="258" spans="1:24" x14ac:dyDescent="0.25">
      <c r="A258" t="s">
        <v>357</v>
      </c>
      <c r="B258" t="s">
        <v>63</v>
      </c>
      <c r="C258" t="s">
        <v>64</v>
      </c>
      <c r="D258" t="s">
        <v>31</v>
      </c>
      <c r="E258" t="s">
        <v>65</v>
      </c>
      <c r="F258" t="s">
        <v>33</v>
      </c>
      <c r="G258" t="s">
        <v>34</v>
      </c>
      <c r="H258" s="22">
        <v>45669</v>
      </c>
      <c r="I258">
        <v>45</v>
      </c>
      <c r="J258">
        <v>35</v>
      </c>
      <c r="K258">
        <v>1800</v>
      </c>
      <c r="L258">
        <v>2800</v>
      </c>
      <c r="M258">
        <v>37</v>
      </c>
      <c r="N258">
        <v>58</v>
      </c>
      <c r="O258">
        <v>13</v>
      </c>
      <c r="P258" t="s">
        <v>22</v>
      </c>
      <c r="Q258" s="4">
        <f t="shared" si="6"/>
        <v>98000</v>
      </c>
      <c r="R258" s="4">
        <f t="shared" si="7"/>
        <v>35000</v>
      </c>
    </row>
    <row r="259" spans="1:24" x14ac:dyDescent="0.25">
      <c r="A259" t="s">
        <v>358</v>
      </c>
      <c r="B259" t="s">
        <v>24</v>
      </c>
      <c r="C259" t="s">
        <v>25</v>
      </c>
      <c r="D259" t="s">
        <v>26</v>
      </c>
      <c r="E259" t="s">
        <v>27</v>
      </c>
      <c r="F259" t="s">
        <v>45</v>
      </c>
      <c r="G259" t="s">
        <v>46</v>
      </c>
      <c r="H259" s="22">
        <v>45883</v>
      </c>
      <c r="I259">
        <v>95</v>
      </c>
      <c r="J259">
        <v>94</v>
      </c>
      <c r="K259">
        <v>900</v>
      </c>
      <c r="L259">
        <v>1400</v>
      </c>
      <c r="M259">
        <v>58</v>
      </c>
      <c r="N259">
        <v>53</v>
      </c>
      <c r="O259">
        <v>9</v>
      </c>
      <c r="P259" t="s">
        <v>72</v>
      </c>
      <c r="Q259" s="4">
        <f t="shared" ref="Q259:Q301" si="8">J259*L259</f>
        <v>131600</v>
      </c>
      <c r="R259" s="4">
        <f t="shared" ref="R259:R301" si="9">(L259-K259)*J259</f>
        <v>47000</v>
      </c>
    </row>
    <row r="260" spans="1:24" x14ac:dyDescent="0.25">
      <c r="A260" t="s">
        <v>359</v>
      </c>
      <c r="B260" t="s">
        <v>56</v>
      </c>
      <c r="C260" t="s">
        <v>57</v>
      </c>
      <c r="D260" t="s">
        <v>26</v>
      </c>
      <c r="E260" t="s">
        <v>58</v>
      </c>
      <c r="F260" t="s">
        <v>71</v>
      </c>
      <c r="G260" t="s">
        <v>34</v>
      </c>
      <c r="H260" s="22">
        <v>46000</v>
      </c>
      <c r="I260">
        <v>95</v>
      </c>
      <c r="J260">
        <v>17</v>
      </c>
      <c r="K260">
        <v>900</v>
      </c>
      <c r="L260">
        <v>1400</v>
      </c>
      <c r="M260">
        <v>106</v>
      </c>
      <c r="N260">
        <v>59</v>
      </c>
      <c r="O260">
        <v>10</v>
      </c>
      <c r="P260" t="s">
        <v>51</v>
      </c>
      <c r="Q260" s="4">
        <f t="shared" si="8"/>
        <v>23800</v>
      </c>
      <c r="R260" s="4">
        <f t="shared" si="9"/>
        <v>8500</v>
      </c>
    </row>
    <row r="261" spans="1:24" x14ac:dyDescent="0.25">
      <c r="A261" t="s">
        <v>360</v>
      </c>
      <c r="B261" t="s">
        <v>88</v>
      </c>
      <c r="C261" t="s">
        <v>89</v>
      </c>
      <c r="D261" t="s">
        <v>31</v>
      </c>
      <c r="E261" t="s">
        <v>90</v>
      </c>
      <c r="F261" t="s">
        <v>71</v>
      </c>
      <c r="G261" t="s">
        <v>34</v>
      </c>
      <c r="H261" s="22">
        <v>45980</v>
      </c>
      <c r="I261">
        <v>186</v>
      </c>
      <c r="J261">
        <v>161</v>
      </c>
      <c r="K261">
        <v>1600</v>
      </c>
      <c r="L261">
        <v>2500</v>
      </c>
      <c r="M261">
        <v>68</v>
      </c>
      <c r="N261">
        <v>46</v>
      </c>
      <c r="O261">
        <v>5</v>
      </c>
      <c r="P261" t="s">
        <v>22</v>
      </c>
      <c r="Q261" s="4">
        <f t="shared" si="8"/>
        <v>402500</v>
      </c>
      <c r="R261" s="4">
        <f t="shared" si="9"/>
        <v>144900</v>
      </c>
    </row>
    <row r="262" spans="1:24" x14ac:dyDescent="0.25">
      <c r="A262" t="s">
        <v>361</v>
      </c>
      <c r="B262" t="s">
        <v>88</v>
      </c>
      <c r="C262" t="s">
        <v>89</v>
      </c>
      <c r="D262" t="s">
        <v>31</v>
      </c>
      <c r="E262" t="s">
        <v>90</v>
      </c>
      <c r="F262" t="s">
        <v>45</v>
      </c>
      <c r="G262" t="s">
        <v>46</v>
      </c>
      <c r="H262" s="22">
        <v>45950</v>
      </c>
      <c r="I262">
        <v>43</v>
      </c>
      <c r="J262">
        <v>26</v>
      </c>
      <c r="K262">
        <v>1600</v>
      </c>
      <c r="L262">
        <v>2500</v>
      </c>
      <c r="M262">
        <v>146</v>
      </c>
      <c r="N262">
        <v>75</v>
      </c>
      <c r="O262">
        <v>5</v>
      </c>
      <c r="P262" t="s">
        <v>22</v>
      </c>
      <c r="Q262" s="4">
        <f t="shared" si="8"/>
        <v>65000</v>
      </c>
      <c r="R262" s="4">
        <f t="shared" si="9"/>
        <v>23400</v>
      </c>
    </row>
    <row r="263" spans="1:24" x14ac:dyDescent="0.25">
      <c r="A263" t="s">
        <v>362</v>
      </c>
      <c r="B263" t="s">
        <v>122</v>
      </c>
      <c r="C263" t="s">
        <v>123</v>
      </c>
      <c r="D263" t="s">
        <v>31</v>
      </c>
      <c r="E263" t="s">
        <v>124</v>
      </c>
      <c r="F263" t="s">
        <v>71</v>
      </c>
      <c r="G263" t="s">
        <v>34</v>
      </c>
      <c r="H263" s="22">
        <v>45838</v>
      </c>
      <c r="I263">
        <v>79</v>
      </c>
      <c r="J263">
        <v>45</v>
      </c>
      <c r="K263">
        <v>4500</v>
      </c>
      <c r="L263">
        <v>6500</v>
      </c>
      <c r="M263">
        <v>203</v>
      </c>
      <c r="N263">
        <v>53</v>
      </c>
      <c r="O263">
        <v>19</v>
      </c>
      <c r="P263" t="s">
        <v>22</v>
      </c>
      <c r="Q263" s="4">
        <f t="shared" si="8"/>
        <v>292500</v>
      </c>
      <c r="R263" s="4">
        <f t="shared" si="9"/>
        <v>90000</v>
      </c>
    </row>
    <row r="264" spans="1:24" x14ac:dyDescent="0.25">
      <c r="A264" t="s">
        <v>363</v>
      </c>
      <c r="B264" t="s">
        <v>103</v>
      </c>
      <c r="C264" t="s">
        <v>104</v>
      </c>
      <c r="D264" t="s">
        <v>31</v>
      </c>
      <c r="E264" t="s">
        <v>32</v>
      </c>
      <c r="F264" t="s">
        <v>45</v>
      </c>
      <c r="G264" t="s">
        <v>46</v>
      </c>
      <c r="H264" s="22">
        <v>45852</v>
      </c>
      <c r="I264">
        <v>118</v>
      </c>
      <c r="J264">
        <v>38</v>
      </c>
      <c r="K264">
        <v>42000</v>
      </c>
      <c r="L264">
        <v>52000</v>
      </c>
      <c r="M264">
        <v>97</v>
      </c>
      <c r="N264">
        <v>54</v>
      </c>
      <c r="O264">
        <v>11</v>
      </c>
      <c r="P264" t="s">
        <v>51</v>
      </c>
      <c r="Q264" s="4">
        <f t="shared" si="8"/>
        <v>1976000</v>
      </c>
      <c r="R264" s="4">
        <f t="shared" si="9"/>
        <v>380000</v>
      </c>
    </row>
    <row r="265" spans="1:24" x14ac:dyDescent="0.25">
      <c r="A265" t="s">
        <v>364</v>
      </c>
      <c r="B265" t="s">
        <v>215</v>
      </c>
      <c r="C265" t="s">
        <v>216</v>
      </c>
      <c r="D265" t="s">
        <v>18</v>
      </c>
      <c r="E265" t="s">
        <v>19</v>
      </c>
      <c r="F265" t="s">
        <v>45</v>
      </c>
      <c r="G265" t="s">
        <v>46</v>
      </c>
      <c r="H265" s="22">
        <v>45955</v>
      </c>
      <c r="I265">
        <v>64</v>
      </c>
      <c r="J265">
        <v>11</v>
      </c>
      <c r="K265">
        <v>120</v>
      </c>
      <c r="L265">
        <v>200</v>
      </c>
      <c r="M265">
        <v>172</v>
      </c>
      <c r="N265">
        <v>40</v>
      </c>
      <c r="O265">
        <v>9</v>
      </c>
      <c r="P265" t="s">
        <v>72</v>
      </c>
      <c r="Q265" s="4">
        <f t="shared" si="8"/>
        <v>2200</v>
      </c>
      <c r="R265" s="4">
        <f t="shared" si="9"/>
        <v>880</v>
      </c>
    </row>
    <row r="266" spans="1:24" x14ac:dyDescent="0.25">
      <c r="A266" t="s">
        <v>365</v>
      </c>
      <c r="B266" t="s">
        <v>56</v>
      </c>
      <c r="C266" t="s">
        <v>57</v>
      </c>
      <c r="D266" t="s">
        <v>26</v>
      </c>
      <c r="E266" t="s">
        <v>58</v>
      </c>
      <c r="F266" t="s">
        <v>33</v>
      </c>
      <c r="G266" t="s">
        <v>34</v>
      </c>
      <c r="H266" s="22">
        <v>45671</v>
      </c>
      <c r="I266">
        <v>17</v>
      </c>
      <c r="J266">
        <v>8</v>
      </c>
      <c r="K266">
        <v>900</v>
      </c>
      <c r="L266">
        <v>1400</v>
      </c>
      <c r="M266">
        <v>257</v>
      </c>
      <c r="N266">
        <v>39</v>
      </c>
      <c r="O266">
        <v>19</v>
      </c>
      <c r="P266" t="s">
        <v>51</v>
      </c>
      <c r="Q266" s="4">
        <f t="shared" si="8"/>
        <v>11200</v>
      </c>
      <c r="R266" s="4">
        <f t="shared" si="9"/>
        <v>4000</v>
      </c>
    </row>
    <row r="267" spans="1:24" x14ac:dyDescent="0.25">
      <c r="A267" t="s">
        <v>366</v>
      </c>
      <c r="B267" t="s">
        <v>24</v>
      </c>
      <c r="C267" t="s">
        <v>25</v>
      </c>
      <c r="D267" t="s">
        <v>26</v>
      </c>
      <c r="E267" t="s">
        <v>27</v>
      </c>
      <c r="F267" t="s">
        <v>45</v>
      </c>
      <c r="G267" t="s">
        <v>46</v>
      </c>
      <c r="H267" s="22">
        <v>45857</v>
      </c>
      <c r="I267">
        <v>123</v>
      </c>
      <c r="J267">
        <v>45</v>
      </c>
      <c r="K267">
        <v>900</v>
      </c>
      <c r="L267">
        <v>1400</v>
      </c>
      <c r="M267">
        <v>23</v>
      </c>
      <c r="N267">
        <v>58</v>
      </c>
      <c r="O267">
        <v>13</v>
      </c>
      <c r="P267" t="s">
        <v>22</v>
      </c>
      <c r="Q267" s="4">
        <f t="shared" si="8"/>
        <v>63000</v>
      </c>
      <c r="R267" s="4">
        <f t="shared" si="9"/>
        <v>22500</v>
      </c>
    </row>
    <row r="268" spans="1:24" x14ac:dyDescent="0.25">
      <c r="A268" t="s">
        <v>367</v>
      </c>
      <c r="B268" t="s">
        <v>60</v>
      </c>
      <c r="C268" t="s">
        <v>61</v>
      </c>
      <c r="D268" t="s">
        <v>31</v>
      </c>
      <c r="E268" t="s">
        <v>32</v>
      </c>
      <c r="F268" t="s">
        <v>20</v>
      </c>
      <c r="G268" t="s">
        <v>21</v>
      </c>
      <c r="H268" s="22">
        <v>45708</v>
      </c>
      <c r="I268">
        <v>109</v>
      </c>
      <c r="K268">
        <v>800</v>
      </c>
      <c r="L268">
        <v>1200</v>
      </c>
      <c r="M268">
        <v>259</v>
      </c>
      <c r="N268">
        <v>45</v>
      </c>
      <c r="O268">
        <v>19</v>
      </c>
      <c r="P268" t="s">
        <v>93</v>
      </c>
      <c r="Q268" s="4">
        <f t="shared" si="8"/>
        <v>0</v>
      </c>
      <c r="R268" s="4">
        <f t="shared" si="9"/>
        <v>0</v>
      </c>
      <c r="U268" s="21">
        <v>45860</v>
      </c>
    </row>
    <row r="269" spans="1:24" x14ac:dyDescent="0.25">
      <c r="A269" t="s">
        <v>368</v>
      </c>
      <c r="B269" t="s">
        <v>83</v>
      </c>
      <c r="C269" t="s">
        <v>84</v>
      </c>
      <c r="D269" t="s">
        <v>31</v>
      </c>
      <c r="E269" t="s">
        <v>86</v>
      </c>
      <c r="F269" t="s">
        <v>45</v>
      </c>
      <c r="G269" t="s">
        <v>46</v>
      </c>
      <c r="H269" s="22">
        <v>45907</v>
      </c>
      <c r="I269">
        <v>107</v>
      </c>
      <c r="J269">
        <v>56</v>
      </c>
      <c r="K269">
        <v>9000</v>
      </c>
      <c r="L269">
        <v>12500</v>
      </c>
      <c r="M269">
        <v>178</v>
      </c>
      <c r="N269">
        <v>64</v>
      </c>
      <c r="O269">
        <v>18</v>
      </c>
      <c r="P269" t="s">
        <v>51</v>
      </c>
      <c r="Q269" s="4">
        <f t="shared" si="8"/>
        <v>700000</v>
      </c>
      <c r="R269" s="4">
        <f t="shared" si="9"/>
        <v>196000</v>
      </c>
      <c r="U269" s="21">
        <v>45677</v>
      </c>
      <c r="X269" s="22">
        <v>45860</v>
      </c>
    </row>
    <row r="270" spans="1:24" x14ac:dyDescent="0.25">
      <c r="A270" t="s">
        <v>369</v>
      </c>
      <c r="B270" t="s">
        <v>194</v>
      </c>
      <c r="C270" t="s">
        <v>195</v>
      </c>
      <c r="D270" t="s">
        <v>43</v>
      </c>
      <c r="E270" t="s">
        <v>108</v>
      </c>
      <c r="F270" t="s">
        <v>71</v>
      </c>
      <c r="G270" t="s">
        <v>34</v>
      </c>
      <c r="H270" s="22">
        <v>45820</v>
      </c>
      <c r="I270">
        <v>98</v>
      </c>
      <c r="J270">
        <v>9</v>
      </c>
      <c r="K270">
        <v>7000</v>
      </c>
      <c r="L270">
        <v>9500</v>
      </c>
      <c r="M270">
        <v>162</v>
      </c>
      <c r="N270">
        <v>52</v>
      </c>
      <c r="O270">
        <v>7</v>
      </c>
      <c r="P270" t="s">
        <v>22</v>
      </c>
      <c r="Q270" s="4">
        <f t="shared" si="8"/>
        <v>85500</v>
      </c>
      <c r="R270" s="4">
        <f t="shared" si="9"/>
        <v>22500</v>
      </c>
      <c r="U270" s="21">
        <v>45772</v>
      </c>
      <c r="X270" s="22">
        <v>45677</v>
      </c>
    </row>
    <row r="271" spans="1:24" x14ac:dyDescent="0.25">
      <c r="A271" t="s">
        <v>370</v>
      </c>
      <c r="B271" t="s">
        <v>16</v>
      </c>
      <c r="C271" t="s">
        <v>17</v>
      </c>
      <c r="D271" t="s">
        <v>18</v>
      </c>
      <c r="E271" t="s">
        <v>19</v>
      </c>
      <c r="F271" t="s">
        <v>45</v>
      </c>
      <c r="G271" t="s">
        <v>46</v>
      </c>
      <c r="H271" s="22">
        <v>45981</v>
      </c>
      <c r="I271">
        <v>45</v>
      </c>
      <c r="J271">
        <v>33</v>
      </c>
      <c r="K271">
        <v>45</v>
      </c>
      <c r="L271">
        <v>80</v>
      </c>
      <c r="M271">
        <v>151</v>
      </c>
      <c r="N271">
        <v>72</v>
      </c>
      <c r="O271">
        <v>18</v>
      </c>
      <c r="P271" t="s">
        <v>22</v>
      </c>
      <c r="Q271" s="4">
        <f t="shared" si="8"/>
        <v>2640</v>
      </c>
      <c r="R271" s="4">
        <f t="shared" si="9"/>
        <v>1155</v>
      </c>
      <c r="U271" s="21">
        <v>45806</v>
      </c>
      <c r="X271" s="22">
        <v>45772</v>
      </c>
    </row>
    <row r="272" spans="1:24" x14ac:dyDescent="0.25">
      <c r="A272" t="s">
        <v>371</v>
      </c>
      <c r="B272" t="s">
        <v>56</v>
      </c>
      <c r="C272" t="s">
        <v>57</v>
      </c>
      <c r="D272" t="s">
        <v>26</v>
      </c>
      <c r="E272" t="s">
        <v>58</v>
      </c>
      <c r="F272" t="s">
        <v>20</v>
      </c>
      <c r="G272" t="s">
        <v>21</v>
      </c>
      <c r="H272" s="22">
        <v>45688</v>
      </c>
      <c r="I272">
        <v>166</v>
      </c>
      <c r="J272">
        <v>144</v>
      </c>
      <c r="K272">
        <v>900</v>
      </c>
      <c r="L272">
        <v>1400</v>
      </c>
      <c r="M272">
        <v>57</v>
      </c>
      <c r="N272">
        <v>42</v>
      </c>
      <c r="O272">
        <v>20</v>
      </c>
      <c r="P272" t="s">
        <v>72</v>
      </c>
      <c r="Q272" s="4">
        <f t="shared" si="8"/>
        <v>201600</v>
      </c>
      <c r="R272" s="4">
        <f t="shared" si="9"/>
        <v>72000</v>
      </c>
      <c r="U272" s="21">
        <v>45937</v>
      </c>
      <c r="X272" s="22">
        <v>45806</v>
      </c>
    </row>
    <row r="273" spans="1:24" x14ac:dyDescent="0.25">
      <c r="A273" t="s">
        <v>372</v>
      </c>
      <c r="B273" t="s">
        <v>56</v>
      </c>
      <c r="C273" t="s">
        <v>57</v>
      </c>
      <c r="D273" t="s">
        <v>26</v>
      </c>
      <c r="E273" t="s">
        <v>58</v>
      </c>
      <c r="F273" t="s">
        <v>33</v>
      </c>
      <c r="G273" t="s">
        <v>34</v>
      </c>
      <c r="H273" s="22">
        <v>45659</v>
      </c>
      <c r="I273">
        <v>83</v>
      </c>
      <c r="J273">
        <v>70</v>
      </c>
      <c r="K273">
        <v>900</v>
      </c>
      <c r="L273">
        <v>1400</v>
      </c>
      <c r="M273">
        <v>5</v>
      </c>
      <c r="N273">
        <v>78</v>
      </c>
      <c r="O273">
        <v>11</v>
      </c>
      <c r="P273" t="s">
        <v>22</v>
      </c>
      <c r="Q273" s="4">
        <f t="shared" si="8"/>
        <v>98000</v>
      </c>
      <c r="R273" s="4">
        <f t="shared" si="9"/>
        <v>35000</v>
      </c>
      <c r="U273" s="21">
        <v>45818</v>
      </c>
      <c r="X273" s="22">
        <v>45848</v>
      </c>
    </row>
    <row r="274" spans="1:24" x14ac:dyDescent="0.25">
      <c r="A274" t="s">
        <v>373</v>
      </c>
      <c r="B274" t="s">
        <v>215</v>
      </c>
      <c r="C274" t="s">
        <v>216</v>
      </c>
      <c r="D274" t="s">
        <v>18</v>
      </c>
      <c r="E274" t="s">
        <v>19</v>
      </c>
      <c r="F274" t="s">
        <v>33</v>
      </c>
      <c r="G274" t="s">
        <v>34</v>
      </c>
      <c r="H274" s="22">
        <v>45912</v>
      </c>
      <c r="I274">
        <v>12</v>
      </c>
      <c r="J274">
        <v>3</v>
      </c>
      <c r="K274">
        <v>120</v>
      </c>
      <c r="L274">
        <v>200</v>
      </c>
      <c r="M274">
        <v>92</v>
      </c>
      <c r="N274">
        <v>51</v>
      </c>
      <c r="O274">
        <v>19</v>
      </c>
      <c r="P274" t="s">
        <v>22</v>
      </c>
      <c r="Q274" s="4">
        <f t="shared" si="8"/>
        <v>600</v>
      </c>
      <c r="R274" s="4">
        <f t="shared" si="9"/>
        <v>240</v>
      </c>
      <c r="U274" s="21">
        <v>45952</v>
      </c>
      <c r="X274" s="22">
        <v>45936</v>
      </c>
    </row>
    <row r="275" spans="1:24" x14ac:dyDescent="0.25">
      <c r="A275" t="s">
        <v>374</v>
      </c>
      <c r="B275" t="s">
        <v>215</v>
      </c>
      <c r="C275" t="s">
        <v>216</v>
      </c>
      <c r="D275" t="s">
        <v>18</v>
      </c>
      <c r="E275" t="s">
        <v>19</v>
      </c>
      <c r="F275" t="s">
        <v>20</v>
      </c>
      <c r="G275" t="s">
        <v>21</v>
      </c>
      <c r="H275" s="22">
        <v>45868</v>
      </c>
      <c r="I275">
        <v>159</v>
      </c>
      <c r="J275">
        <v>31</v>
      </c>
      <c r="K275">
        <v>120</v>
      </c>
      <c r="L275">
        <v>200</v>
      </c>
      <c r="M275">
        <v>77</v>
      </c>
      <c r="N275">
        <v>30</v>
      </c>
      <c r="O275">
        <v>18</v>
      </c>
      <c r="P275" t="s">
        <v>51</v>
      </c>
      <c r="Q275" s="4">
        <f t="shared" si="8"/>
        <v>6200</v>
      </c>
      <c r="R275" s="4">
        <f t="shared" si="9"/>
        <v>2480</v>
      </c>
      <c r="U275" s="21">
        <v>45691</v>
      </c>
      <c r="X275" s="22">
        <v>45952</v>
      </c>
    </row>
    <row r="276" spans="1:24" x14ac:dyDescent="0.25">
      <c r="A276" t="s">
        <v>375</v>
      </c>
      <c r="B276" t="s">
        <v>103</v>
      </c>
      <c r="C276" t="s">
        <v>104</v>
      </c>
      <c r="D276" t="s">
        <v>31</v>
      </c>
      <c r="E276" t="s">
        <v>32</v>
      </c>
      <c r="F276" t="s">
        <v>33</v>
      </c>
      <c r="G276" t="s">
        <v>34</v>
      </c>
      <c r="H276" s="22">
        <v>45696</v>
      </c>
      <c r="I276">
        <v>48</v>
      </c>
      <c r="J276">
        <v>33</v>
      </c>
      <c r="K276">
        <v>42000</v>
      </c>
      <c r="L276">
        <v>52000</v>
      </c>
      <c r="M276">
        <v>254</v>
      </c>
      <c r="N276">
        <v>72</v>
      </c>
      <c r="O276">
        <v>16</v>
      </c>
      <c r="P276" t="s">
        <v>22</v>
      </c>
      <c r="Q276" s="4">
        <f t="shared" si="8"/>
        <v>1716000</v>
      </c>
      <c r="R276" s="4">
        <f t="shared" si="9"/>
        <v>330000</v>
      </c>
      <c r="U276" s="21">
        <v>45912</v>
      </c>
      <c r="X276" s="22">
        <v>45718</v>
      </c>
    </row>
    <row r="277" spans="1:24" x14ac:dyDescent="0.25">
      <c r="A277" t="s">
        <v>376</v>
      </c>
      <c r="B277" t="s">
        <v>103</v>
      </c>
      <c r="C277" t="s">
        <v>104</v>
      </c>
      <c r="D277" t="s">
        <v>31</v>
      </c>
      <c r="E277" t="s">
        <v>32</v>
      </c>
      <c r="F277" t="s">
        <v>71</v>
      </c>
      <c r="G277" t="s">
        <v>34</v>
      </c>
      <c r="H277" s="22">
        <v>45731</v>
      </c>
      <c r="I277">
        <v>188</v>
      </c>
      <c r="J277">
        <v>60</v>
      </c>
      <c r="K277">
        <v>42000</v>
      </c>
      <c r="L277">
        <v>52000</v>
      </c>
      <c r="M277">
        <v>184</v>
      </c>
      <c r="N277">
        <v>37</v>
      </c>
      <c r="O277">
        <v>7</v>
      </c>
      <c r="P277" t="s">
        <v>22</v>
      </c>
      <c r="Q277" s="4">
        <f t="shared" si="8"/>
        <v>3120000</v>
      </c>
      <c r="R277" s="4">
        <f t="shared" si="9"/>
        <v>600000</v>
      </c>
      <c r="U277" s="21">
        <v>45796</v>
      </c>
      <c r="X277" s="22">
        <v>46000</v>
      </c>
    </row>
    <row r="278" spans="1:24" x14ac:dyDescent="0.25">
      <c r="A278" t="s">
        <v>377</v>
      </c>
      <c r="B278" t="s">
        <v>215</v>
      </c>
      <c r="C278" t="s">
        <v>216</v>
      </c>
      <c r="D278" t="s">
        <v>18</v>
      </c>
      <c r="E278" t="s">
        <v>19</v>
      </c>
      <c r="F278" t="s">
        <v>33</v>
      </c>
      <c r="G278" t="s">
        <v>34</v>
      </c>
      <c r="H278" s="22">
        <v>45836</v>
      </c>
      <c r="I278">
        <v>54</v>
      </c>
      <c r="J278">
        <v>28</v>
      </c>
      <c r="K278">
        <v>120</v>
      </c>
      <c r="L278">
        <v>200</v>
      </c>
      <c r="M278">
        <v>200</v>
      </c>
      <c r="N278">
        <v>21</v>
      </c>
      <c r="O278">
        <v>3</v>
      </c>
      <c r="P278" t="s">
        <v>22</v>
      </c>
      <c r="Q278" s="4">
        <f t="shared" si="8"/>
        <v>5600</v>
      </c>
      <c r="R278" s="4">
        <f t="shared" si="9"/>
        <v>2240</v>
      </c>
      <c r="U278" s="21">
        <v>45912</v>
      </c>
      <c r="X278" s="22">
        <v>45796</v>
      </c>
    </row>
    <row r="279" spans="1:24" x14ac:dyDescent="0.25">
      <c r="A279" t="s">
        <v>378</v>
      </c>
      <c r="B279" t="s">
        <v>215</v>
      </c>
      <c r="C279" t="s">
        <v>216</v>
      </c>
      <c r="D279" t="s">
        <v>18</v>
      </c>
      <c r="E279" t="s">
        <v>19</v>
      </c>
      <c r="F279" t="s">
        <v>33</v>
      </c>
      <c r="G279" t="s">
        <v>34</v>
      </c>
      <c r="H279" s="22">
        <v>45883</v>
      </c>
      <c r="I279">
        <v>18</v>
      </c>
      <c r="J279">
        <v>7</v>
      </c>
      <c r="K279">
        <v>120</v>
      </c>
      <c r="L279">
        <v>200</v>
      </c>
      <c r="M279">
        <v>130</v>
      </c>
      <c r="N279">
        <v>34</v>
      </c>
      <c r="O279">
        <v>3</v>
      </c>
      <c r="P279" t="s">
        <v>22</v>
      </c>
      <c r="Q279" s="4">
        <f t="shared" si="8"/>
        <v>1400</v>
      </c>
      <c r="R279" s="4">
        <f t="shared" si="9"/>
        <v>560</v>
      </c>
      <c r="U279" s="21">
        <v>45805</v>
      </c>
      <c r="X279" s="22">
        <v>46000</v>
      </c>
    </row>
    <row r="280" spans="1:24" x14ac:dyDescent="0.25">
      <c r="A280" t="s">
        <v>379</v>
      </c>
      <c r="B280" t="s">
        <v>16</v>
      </c>
      <c r="C280" t="s">
        <v>17</v>
      </c>
      <c r="D280" t="s">
        <v>18</v>
      </c>
      <c r="E280" t="s">
        <v>19</v>
      </c>
      <c r="F280" t="s">
        <v>230</v>
      </c>
      <c r="G280" t="s">
        <v>34</v>
      </c>
      <c r="H280" s="22">
        <v>45891</v>
      </c>
      <c r="I280">
        <v>82</v>
      </c>
      <c r="J280">
        <v>53</v>
      </c>
      <c r="K280">
        <v>45</v>
      </c>
      <c r="L280">
        <v>80</v>
      </c>
      <c r="M280">
        <v>132</v>
      </c>
      <c r="N280">
        <v>76</v>
      </c>
      <c r="O280">
        <v>17</v>
      </c>
      <c r="P280" t="s">
        <v>72</v>
      </c>
      <c r="Q280" s="4">
        <f t="shared" si="8"/>
        <v>4240</v>
      </c>
      <c r="R280" s="4">
        <f t="shared" si="9"/>
        <v>1855</v>
      </c>
      <c r="U280" s="21">
        <v>45994</v>
      </c>
      <c r="X280" s="22">
        <v>45805</v>
      </c>
    </row>
    <row r="281" spans="1:24" x14ac:dyDescent="0.25">
      <c r="A281" t="s">
        <v>380</v>
      </c>
      <c r="B281" t="s">
        <v>48</v>
      </c>
      <c r="C281" t="s">
        <v>49</v>
      </c>
      <c r="D281" t="s">
        <v>26</v>
      </c>
      <c r="E281" t="s">
        <v>50</v>
      </c>
      <c r="F281" t="s">
        <v>45</v>
      </c>
      <c r="G281" t="s">
        <v>46</v>
      </c>
      <c r="H281" s="22">
        <v>46003</v>
      </c>
      <c r="I281">
        <v>188</v>
      </c>
      <c r="J281">
        <v>149</v>
      </c>
      <c r="K281">
        <v>120</v>
      </c>
      <c r="L281">
        <v>250</v>
      </c>
      <c r="M281">
        <v>116</v>
      </c>
      <c r="N281">
        <v>46</v>
      </c>
      <c r="O281">
        <v>11</v>
      </c>
      <c r="P281" t="s">
        <v>22</v>
      </c>
      <c r="Q281" s="4">
        <f t="shared" si="8"/>
        <v>37250</v>
      </c>
      <c r="R281" s="4">
        <f t="shared" si="9"/>
        <v>19370</v>
      </c>
      <c r="U281" s="21">
        <v>45700</v>
      </c>
      <c r="X281" s="22">
        <v>45728</v>
      </c>
    </row>
    <row r="282" spans="1:24" x14ac:dyDescent="0.25">
      <c r="A282" t="s">
        <v>381</v>
      </c>
      <c r="B282" t="s">
        <v>103</v>
      </c>
      <c r="C282" t="s">
        <v>104</v>
      </c>
      <c r="D282" t="s">
        <v>31</v>
      </c>
      <c r="E282" t="s">
        <v>32</v>
      </c>
      <c r="F282" t="s">
        <v>20</v>
      </c>
      <c r="G282" t="s">
        <v>21</v>
      </c>
      <c r="H282" s="22">
        <v>45702</v>
      </c>
      <c r="I282">
        <v>49</v>
      </c>
      <c r="J282">
        <v>10</v>
      </c>
      <c r="K282">
        <v>42000</v>
      </c>
      <c r="L282">
        <v>52000</v>
      </c>
      <c r="M282">
        <v>186</v>
      </c>
      <c r="N282">
        <v>44</v>
      </c>
      <c r="O282">
        <v>7</v>
      </c>
      <c r="P282" t="s">
        <v>22</v>
      </c>
      <c r="Q282" s="4">
        <f t="shared" si="8"/>
        <v>520000</v>
      </c>
      <c r="R282" s="4">
        <f t="shared" si="9"/>
        <v>100000</v>
      </c>
      <c r="U282" s="21">
        <v>45660</v>
      </c>
      <c r="X282" s="22">
        <v>45993</v>
      </c>
    </row>
    <row r="283" spans="1:24" x14ac:dyDescent="0.25">
      <c r="A283" t="s">
        <v>382</v>
      </c>
      <c r="B283" t="s">
        <v>68</v>
      </c>
      <c r="C283" t="s">
        <v>69</v>
      </c>
      <c r="D283" t="s">
        <v>43</v>
      </c>
      <c r="E283" t="s">
        <v>80</v>
      </c>
      <c r="F283" t="s">
        <v>71</v>
      </c>
      <c r="G283" t="s">
        <v>34</v>
      </c>
      <c r="H283" s="22">
        <v>45716</v>
      </c>
      <c r="I283">
        <v>90</v>
      </c>
      <c r="J283">
        <v>68</v>
      </c>
      <c r="K283">
        <v>650</v>
      </c>
      <c r="L283">
        <v>1000</v>
      </c>
      <c r="M283">
        <v>200</v>
      </c>
      <c r="N283">
        <v>41</v>
      </c>
      <c r="O283">
        <v>14</v>
      </c>
      <c r="P283" t="s">
        <v>51</v>
      </c>
      <c r="Q283" s="4">
        <f t="shared" si="8"/>
        <v>68000</v>
      </c>
      <c r="R283" s="4">
        <f t="shared" si="9"/>
        <v>23800</v>
      </c>
      <c r="U283" s="21">
        <v>45891</v>
      </c>
      <c r="X283" s="22">
        <v>45717</v>
      </c>
    </row>
    <row r="284" spans="1:24" x14ac:dyDescent="0.25">
      <c r="A284" t="s">
        <v>383</v>
      </c>
      <c r="B284" t="s">
        <v>56</v>
      </c>
      <c r="C284" t="s">
        <v>57</v>
      </c>
      <c r="D284" t="s">
        <v>26</v>
      </c>
      <c r="E284" t="s">
        <v>58</v>
      </c>
      <c r="F284" t="s">
        <v>71</v>
      </c>
      <c r="G284" t="s">
        <v>34</v>
      </c>
      <c r="H284" s="22">
        <v>45941</v>
      </c>
      <c r="I284">
        <v>67</v>
      </c>
      <c r="J284">
        <v>49</v>
      </c>
      <c r="K284">
        <v>900</v>
      </c>
      <c r="L284">
        <v>1400</v>
      </c>
      <c r="M284">
        <v>100</v>
      </c>
      <c r="N284">
        <v>49</v>
      </c>
      <c r="O284">
        <v>11</v>
      </c>
      <c r="P284" t="s">
        <v>22</v>
      </c>
      <c r="Q284" s="4">
        <f t="shared" si="8"/>
        <v>68600</v>
      </c>
      <c r="R284" s="4">
        <f t="shared" si="9"/>
        <v>24500</v>
      </c>
      <c r="U284" s="21">
        <v>45873</v>
      </c>
      <c r="X284" s="22">
        <v>45891</v>
      </c>
    </row>
    <row r="285" spans="1:24" x14ac:dyDescent="0.25">
      <c r="A285" t="s">
        <v>384</v>
      </c>
      <c r="B285" t="s">
        <v>29</v>
      </c>
      <c r="C285" t="s">
        <v>30</v>
      </c>
      <c r="D285" t="s">
        <v>31</v>
      </c>
      <c r="E285" t="s">
        <v>32</v>
      </c>
      <c r="F285" t="s">
        <v>71</v>
      </c>
      <c r="G285" t="s">
        <v>34</v>
      </c>
      <c r="H285" s="22">
        <v>45998</v>
      </c>
      <c r="I285">
        <v>11</v>
      </c>
      <c r="J285">
        <v>5</v>
      </c>
      <c r="K285">
        <v>450</v>
      </c>
      <c r="L285">
        <v>700</v>
      </c>
      <c r="M285">
        <v>82</v>
      </c>
      <c r="N285">
        <v>35</v>
      </c>
      <c r="O285">
        <v>6</v>
      </c>
      <c r="P285" t="s">
        <v>22</v>
      </c>
      <c r="Q285" s="4">
        <f t="shared" si="8"/>
        <v>3500</v>
      </c>
      <c r="R285" s="4">
        <f t="shared" si="9"/>
        <v>1250</v>
      </c>
      <c r="U285" s="21">
        <v>45948</v>
      </c>
      <c r="X285" s="22">
        <v>45755</v>
      </c>
    </row>
    <row r="286" spans="1:24" x14ac:dyDescent="0.25">
      <c r="A286" t="s">
        <v>385</v>
      </c>
      <c r="B286" t="s">
        <v>41</v>
      </c>
      <c r="C286" t="s">
        <v>42</v>
      </c>
      <c r="D286" t="s">
        <v>43</v>
      </c>
      <c r="E286" t="s">
        <v>44</v>
      </c>
      <c r="F286" t="s">
        <v>20</v>
      </c>
      <c r="G286" t="s">
        <v>21</v>
      </c>
      <c r="H286" s="22">
        <v>45942</v>
      </c>
      <c r="I286">
        <v>118</v>
      </c>
      <c r="J286">
        <v>59</v>
      </c>
      <c r="K286">
        <v>5000</v>
      </c>
      <c r="L286">
        <v>7000</v>
      </c>
      <c r="M286">
        <v>125</v>
      </c>
      <c r="N286">
        <v>30</v>
      </c>
      <c r="O286">
        <v>13</v>
      </c>
      <c r="P286" t="s">
        <v>22</v>
      </c>
      <c r="Q286" s="4">
        <f t="shared" si="8"/>
        <v>413000</v>
      </c>
      <c r="R286" s="4">
        <f t="shared" si="9"/>
        <v>118000</v>
      </c>
      <c r="U286" s="21">
        <v>45734</v>
      </c>
      <c r="X286" s="22">
        <v>45948</v>
      </c>
    </row>
    <row r="287" spans="1:24" x14ac:dyDescent="0.25">
      <c r="A287" t="s">
        <v>386</v>
      </c>
      <c r="B287" t="s">
        <v>68</v>
      </c>
      <c r="C287" t="s">
        <v>69</v>
      </c>
      <c r="D287" t="s">
        <v>43</v>
      </c>
      <c r="E287" t="s">
        <v>80</v>
      </c>
      <c r="F287" t="s">
        <v>20</v>
      </c>
      <c r="G287" t="s">
        <v>21</v>
      </c>
      <c r="H287" s="22">
        <v>45810</v>
      </c>
      <c r="I287">
        <v>126</v>
      </c>
      <c r="J287">
        <v>64</v>
      </c>
      <c r="K287">
        <v>650</v>
      </c>
      <c r="L287">
        <v>1000</v>
      </c>
      <c r="M287">
        <v>107</v>
      </c>
      <c r="N287">
        <v>34</v>
      </c>
      <c r="O287">
        <v>16</v>
      </c>
      <c r="P287" t="s">
        <v>51</v>
      </c>
      <c r="Q287" s="4">
        <f t="shared" si="8"/>
        <v>64000</v>
      </c>
      <c r="R287" s="4">
        <f t="shared" si="9"/>
        <v>22400</v>
      </c>
      <c r="U287" s="21">
        <v>45725</v>
      </c>
      <c r="X287" s="22">
        <v>45734</v>
      </c>
    </row>
    <row r="288" spans="1:24" x14ac:dyDescent="0.25">
      <c r="A288" t="s">
        <v>387</v>
      </c>
      <c r="B288" t="s">
        <v>53</v>
      </c>
      <c r="C288" t="s">
        <v>54</v>
      </c>
      <c r="D288" t="s">
        <v>18</v>
      </c>
      <c r="E288" t="s">
        <v>44</v>
      </c>
      <c r="F288" t="s">
        <v>45</v>
      </c>
      <c r="G288" t="s">
        <v>46</v>
      </c>
      <c r="H288" s="22">
        <v>45958</v>
      </c>
      <c r="I288">
        <v>99</v>
      </c>
      <c r="J288">
        <v>68</v>
      </c>
      <c r="K288">
        <v>1200</v>
      </c>
      <c r="L288">
        <v>1800</v>
      </c>
      <c r="M288">
        <v>129</v>
      </c>
      <c r="N288">
        <v>45</v>
      </c>
      <c r="O288">
        <v>18</v>
      </c>
      <c r="P288" t="s">
        <v>22</v>
      </c>
      <c r="Q288" s="4">
        <f t="shared" si="8"/>
        <v>122400</v>
      </c>
      <c r="R288" s="4">
        <f t="shared" si="9"/>
        <v>40800</v>
      </c>
      <c r="U288" s="21">
        <v>45922</v>
      </c>
      <c r="X288" s="22">
        <v>45903</v>
      </c>
    </row>
    <row r="289" spans="1:24" x14ac:dyDescent="0.25">
      <c r="A289" t="s">
        <v>388</v>
      </c>
      <c r="B289" t="s">
        <v>24</v>
      </c>
      <c r="C289" t="s">
        <v>25</v>
      </c>
      <c r="D289" t="s">
        <v>26</v>
      </c>
      <c r="E289" t="s">
        <v>27</v>
      </c>
      <c r="F289" t="s">
        <v>33</v>
      </c>
      <c r="G289" t="s">
        <v>34</v>
      </c>
      <c r="H289" s="22">
        <v>45935</v>
      </c>
      <c r="I289">
        <v>74</v>
      </c>
      <c r="J289">
        <v>49</v>
      </c>
      <c r="K289">
        <v>900</v>
      </c>
      <c r="L289">
        <v>1400</v>
      </c>
      <c r="M289">
        <v>17</v>
      </c>
      <c r="N289">
        <v>62</v>
      </c>
      <c r="O289">
        <v>20</v>
      </c>
      <c r="P289" t="s">
        <v>22</v>
      </c>
      <c r="Q289" s="4">
        <f t="shared" si="8"/>
        <v>68600</v>
      </c>
      <c r="R289" s="4">
        <f t="shared" si="9"/>
        <v>24500</v>
      </c>
      <c r="U289" s="21">
        <v>45987</v>
      </c>
      <c r="X289" s="22">
        <v>45922</v>
      </c>
    </row>
    <row r="290" spans="1:24" x14ac:dyDescent="0.25">
      <c r="A290" t="s">
        <v>389</v>
      </c>
      <c r="B290" t="s">
        <v>68</v>
      </c>
      <c r="C290" t="s">
        <v>69</v>
      </c>
      <c r="D290" t="s">
        <v>43</v>
      </c>
      <c r="E290" t="s">
        <v>80</v>
      </c>
      <c r="F290" t="s">
        <v>33</v>
      </c>
      <c r="G290" t="s">
        <v>34</v>
      </c>
      <c r="H290" s="22">
        <v>46013</v>
      </c>
      <c r="I290">
        <v>50</v>
      </c>
      <c r="J290">
        <v>49</v>
      </c>
      <c r="K290">
        <v>650</v>
      </c>
      <c r="L290">
        <v>1000</v>
      </c>
      <c r="M290">
        <v>121</v>
      </c>
      <c r="N290">
        <v>40</v>
      </c>
      <c r="O290">
        <v>8</v>
      </c>
      <c r="P290" t="s">
        <v>51</v>
      </c>
      <c r="Q290" s="4">
        <f t="shared" si="8"/>
        <v>49000</v>
      </c>
      <c r="R290" s="4">
        <f t="shared" si="9"/>
        <v>17150</v>
      </c>
      <c r="U290" s="21">
        <v>45983</v>
      </c>
      <c r="X290" s="22">
        <v>45987</v>
      </c>
    </row>
    <row r="291" spans="1:24" x14ac:dyDescent="0.25">
      <c r="A291" t="s">
        <v>390</v>
      </c>
      <c r="B291" t="s">
        <v>60</v>
      </c>
      <c r="C291" t="s">
        <v>61</v>
      </c>
      <c r="D291" t="s">
        <v>31</v>
      </c>
      <c r="E291" t="s">
        <v>32</v>
      </c>
      <c r="F291" t="s">
        <v>71</v>
      </c>
      <c r="G291" t="s">
        <v>34</v>
      </c>
      <c r="H291" s="22">
        <v>45914</v>
      </c>
      <c r="I291">
        <v>199</v>
      </c>
      <c r="J291">
        <v>76</v>
      </c>
      <c r="K291">
        <v>800</v>
      </c>
      <c r="L291">
        <v>1200</v>
      </c>
      <c r="M291">
        <v>101</v>
      </c>
      <c r="N291">
        <v>24</v>
      </c>
      <c r="O291">
        <v>11</v>
      </c>
      <c r="P291" t="s">
        <v>22</v>
      </c>
      <c r="Q291" s="4">
        <f t="shared" si="8"/>
        <v>91200</v>
      </c>
      <c r="R291" s="4">
        <f t="shared" si="9"/>
        <v>30400</v>
      </c>
      <c r="U291" s="21">
        <v>45840</v>
      </c>
      <c r="X291" s="22">
        <v>45983</v>
      </c>
    </row>
    <row r="292" spans="1:24" x14ac:dyDescent="0.25">
      <c r="A292" t="s">
        <v>391</v>
      </c>
      <c r="B292" t="s">
        <v>106</v>
      </c>
      <c r="C292" t="s">
        <v>107</v>
      </c>
      <c r="D292" t="s">
        <v>43</v>
      </c>
      <c r="E292" t="s">
        <v>108</v>
      </c>
      <c r="F292" t="s">
        <v>45</v>
      </c>
      <c r="G292" t="s">
        <v>46</v>
      </c>
      <c r="H292" s="22">
        <v>45802</v>
      </c>
      <c r="I292">
        <v>96</v>
      </c>
      <c r="J292">
        <v>51</v>
      </c>
      <c r="K292">
        <v>5500</v>
      </c>
      <c r="L292">
        <v>7500</v>
      </c>
      <c r="M292">
        <v>240</v>
      </c>
      <c r="N292">
        <v>69</v>
      </c>
      <c r="O292">
        <v>6</v>
      </c>
      <c r="P292" t="s">
        <v>93</v>
      </c>
      <c r="Q292" s="4">
        <f t="shared" si="8"/>
        <v>382500</v>
      </c>
      <c r="R292" s="4">
        <f t="shared" si="9"/>
        <v>102000</v>
      </c>
      <c r="U292" s="21">
        <v>45886</v>
      </c>
      <c r="X292" s="22">
        <v>45695</v>
      </c>
    </row>
    <row r="293" spans="1:24" x14ac:dyDescent="0.25">
      <c r="A293" t="s">
        <v>392</v>
      </c>
      <c r="B293" t="s">
        <v>103</v>
      </c>
      <c r="C293" t="s">
        <v>104</v>
      </c>
      <c r="D293" t="s">
        <v>31</v>
      </c>
      <c r="E293" t="s">
        <v>32</v>
      </c>
      <c r="F293" t="s">
        <v>71</v>
      </c>
      <c r="G293" t="s">
        <v>34</v>
      </c>
      <c r="H293" s="22">
        <v>46005</v>
      </c>
      <c r="I293">
        <v>209</v>
      </c>
      <c r="J293">
        <v>169</v>
      </c>
      <c r="K293">
        <v>42000</v>
      </c>
      <c r="L293">
        <v>52000</v>
      </c>
      <c r="M293">
        <v>182</v>
      </c>
      <c r="N293">
        <v>77</v>
      </c>
      <c r="O293">
        <v>15</v>
      </c>
      <c r="P293" t="s">
        <v>22</v>
      </c>
      <c r="Q293" s="4">
        <f t="shared" si="8"/>
        <v>8788000</v>
      </c>
      <c r="R293" s="4">
        <f t="shared" si="9"/>
        <v>1690000</v>
      </c>
      <c r="U293" s="21">
        <v>45830</v>
      </c>
      <c r="X293" s="22">
        <v>45886</v>
      </c>
    </row>
    <row r="294" spans="1:24" x14ac:dyDescent="0.25">
      <c r="A294" t="s">
        <v>393</v>
      </c>
      <c r="B294" t="s">
        <v>48</v>
      </c>
      <c r="C294" t="s">
        <v>49</v>
      </c>
      <c r="D294" t="s">
        <v>26</v>
      </c>
      <c r="E294" t="s">
        <v>50</v>
      </c>
      <c r="F294" t="s">
        <v>45</v>
      </c>
      <c r="G294" t="s">
        <v>46</v>
      </c>
      <c r="H294" s="22">
        <v>45838</v>
      </c>
      <c r="I294">
        <v>165</v>
      </c>
      <c r="J294">
        <v>25</v>
      </c>
      <c r="K294">
        <v>120</v>
      </c>
      <c r="L294">
        <v>250</v>
      </c>
      <c r="M294">
        <v>96</v>
      </c>
      <c r="N294">
        <v>38</v>
      </c>
      <c r="O294">
        <v>5</v>
      </c>
      <c r="P294" t="s">
        <v>22</v>
      </c>
      <c r="Q294" s="4">
        <f t="shared" si="8"/>
        <v>6250</v>
      </c>
      <c r="R294" s="4">
        <f t="shared" si="9"/>
        <v>3250</v>
      </c>
      <c r="U294" s="21">
        <v>46022</v>
      </c>
      <c r="X294" s="22">
        <v>45830</v>
      </c>
    </row>
    <row r="295" spans="1:24" x14ac:dyDescent="0.25">
      <c r="A295" t="s">
        <v>394</v>
      </c>
      <c r="B295" t="s">
        <v>29</v>
      </c>
      <c r="C295" t="s">
        <v>30</v>
      </c>
      <c r="D295" t="s">
        <v>31</v>
      </c>
      <c r="E295" t="s">
        <v>32</v>
      </c>
      <c r="F295" t="s">
        <v>45</v>
      </c>
      <c r="G295" t="s">
        <v>46</v>
      </c>
      <c r="H295" s="22">
        <v>45678</v>
      </c>
      <c r="I295">
        <v>160</v>
      </c>
      <c r="J295">
        <v>41</v>
      </c>
      <c r="K295">
        <v>450</v>
      </c>
      <c r="L295">
        <v>700</v>
      </c>
      <c r="M295">
        <v>223</v>
      </c>
      <c r="N295">
        <v>32</v>
      </c>
      <c r="O295">
        <v>11</v>
      </c>
      <c r="P295" t="s">
        <v>22</v>
      </c>
      <c r="Q295" s="4">
        <f t="shared" si="8"/>
        <v>28700</v>
      </c>
      <c r="R295" s="4">
        <f t="shared" si="9"/>
        <v>10250</v>
      </c>
      <c r="U295" s="21">
        <v>45895</v>
      </c>
      <c r="X295" s="22">
        <v>46022</v>
      </c>
    </row>
    <row r="296" spans="1:24" x14ac:dyDescent="0.25">
      <c r="A296" t="s">
        <v>395</v>
      </c>
      <c r="B296" t="s">
        <v>41</v>
      </c>
      <c r="C296" t="s">
        <v>42</v>
      </c>
      <c r="D296" t="s">
        <v>43</v>
      </c>
      <c r="E296" t="s">
        <v>44</v>
      </c>
      <c r="F296" t="s">
        <v>71</v>
      </c>
      <c r="G296" t="s">
        <v>34</v>
      </c>
      <c r="H296" s="22">
        <v>45980</v>
      </c>
      <c r="I296">
        <v>168</v>
      </c>
      <c r="J296">
        <v>45</v>
      </c>
      <c r="K296">
        <v>5000</v>
      </c>
      <c r="L296">
        <v>7000</v>
      </c>
      <c r="M296">
        <v>119</v>
      </c>
      <c r="N296">
        <v>56</v>
      </c>
      <c r="O296">
        <v>17</v>
      </c>
      <c r="P296" t="s">
        <v>51</v>
      </c>
      <c r="Q296" s="4">
        <f t="shared" si="8"/>
        <v>315000</v>
      </c>
      <c r="R296" s="4">
        <f t="shared" si="9"/>
        <v>90000</v>
      </c>
      <c r="U296" s="21">
        <v>45960</v>
      </c>
      <c r="X296" s="22">
        <v>45895</v>
      </c>
    </row>
    <row r="297" spans="1:24" x14ac:dyDescent="0.25">
      <c r="A297" t="s">
        <v>396</v>
      </c>
      <c r="B297" t="s">
        <v>56</v>
      </c>
      <c r="C297" t="s">
        <v>57</v>
      </c>
      <c r="D297" t="s">
        <v>26</v>
      </c>
      <c r="E297" t="s">
        <v>58</v>
      </c>
      <c r="F297" t="s">
        <v>71</v>
      </c>
      <c r="G297" t="s">
        <v>34</v>
      </c>
      <c r="H297" s="22">
        <v>45658</v>
      </c>
      <c r="I297">
        <v>33</v>
      </c>
      <c r="J297">
        <v>18</v>
      </c>
      <c r="K297">
        <v>900</v>
      </c>
      <c r="L297">
        <v>1400</v>
      </c>
      <c r="M297">
        <v>24</v>
      </c>
      <c r="N297">
        <v>76</v>
      </c>
      <c r="O297">
        <v>20</v>
      </c>
      <c r="P297" t="s">
        <v>22</v>
      </c>
      <c r="Q297" s="4">
        <f t="shared" si="8"/>
        <v>25200</v>
      </c>
      <c r="R297" s="4">
        <f t="shared" si="9"/>
        <v>9000</v>
      </c>
      <c r="U297" s="21">
        <v>45668</v>
      </c>
      <c r="X297" s="22">
        <v>45960</v>
      </c>
    </row>
    <row r="298" spans="1:24" x14ac:dyDescent="0.25">
      <c r="A298" t="s">
        <v>397</v>
      </c>
      <c r="B298" t="s">
        <v>48</v>
      </c>
      <c r="C298" t="s">
        <v>49</v>
      </c>
      <c r="D298" t="s">
        <v>26</v>
      </c>
      <c r="E298" t="s">
        <v>50</v>
      </c>
      <c r="F298" t="s">
        <v>33</v>
      </c>
      <c r="G298" t="s">
        <v>34</v>
      </c>
      <c r="H298" s="22">
        <v>45677</v>
      </c>
      <c r="I298">
        <v>207</v>
      </c>
      <c r="J298">
        <v>81</v>
      </c>
      <c r="K298">
        <v>120</v>
      </c>
      <c r="L298">
        <v>250</v>
      </c>
      <c r="M298">
        <v>110</v>
      </c>
      <c r="N298">
        <v>69</v>
      </c>
      <c r="O298">
        <v>13</v>
      </c>
      <c r="P298" t="s">
        <v>51</v>
      </c>
      <c r="Q298" s="4">
        <f t="shared" si="8"/>
        <v>20250</v>
      </c>
      <c r="R298" s="4">
        <f t="shared" si="9"/>
        <v>10530</v>
      </c>
      <c r="U298" s="21">
        <v>45905</v>
      </c>
      <c r="X298" s="22">
        <v>45962</v>
      </c>
    </row>
    <row r="299" spans="1:24" x14ac:dyDescent="0.25">
      <c r="A299" t="s">
        <v>398</v>
      </c>
      <c r="B299" t="s">
        <v>56</v>
      </c>
      <c r="C299" t="s">
        <v>57</v>
      </c>
      <c r="D299" t="s">
        <v>26</v>
      </c>
      <c r="E299" t="s">
        <v>58</v>
      </c>
      <c r="F299" t="s">
        <v>45</v>
      </c>
      <c r="G299" t="s">
        <v>46</v>
      </c>
      <c r="H299" s="22">
        <v>45973</v>
      </c>
      <c r="I299">
        <v>217</v>
      </c>
      <c r="J299">
        <v>56</v>
      </c>
      <c r="K299">
        <v>900</v>
      </c>
      <c r="L299">
        <v>1400</v>
      </c>
      <c r="M299">
        <v>146</v>
      </c>
      <c r="N299">
        <v>53</v>
      </c>
      <c r="O299">
        <v>4</v>
      </c>
      <c r="P299" t="s">
        <v>22</v>
      </c>
      <c r="Q299" s="4">
        <f t="shared" si="8"/>
        <v>78400</v>
      </c>
      <c r="R299" s="4">
        <f t="shared" si="9"/>
        <v>28000</v>
      </c>
      <c r="U299" s="21">
        <v>45839</v>
      </c>
      <c r="X299" s="22">
        <v>45786</v>
      </c>
    </row>
    <row r="300" spans="1:24" x14ac:dyDescent="0.25">
      <c r="A300" t="s">
        <v>399</v>
      </c>
      <c r="B300" t="s">
        <v>122</v>
      </c>
      <c r="C300" t="s">
        <v>123</v>
      </c>
      <c r="D300" t="s">
        <v>31</v>
      </c>
      <c r="E300" t="s">
        <v>124</v>
      </c>
      <c r="F300" t="s">
        <v>71</v>
      </c>
      <c r="G300" t="s">
        <v>34</v>
      </c>
      <c r="H300" s="22">
        <v>46012</v>
      </c>
      <c r="I300">
        <v>133</v>
      </c>
      <c r="J300">
        <v>115</v>
      </c>
      <c r="K300">
        <v>4500</v>
      </c>
      <c r="L300">
        <v>6500</v>
      </c>
      <c r="M300">
        <v>263</v>
      </c>
      <c r="N300">
        <v>23</v>
      </c>
      <c r="O300">
        <v>8</v>
      </c>
      <c r="P300" t="s">
        <v>22</v>
      </c>
      <c r="Q300" s="4">
        <f t="shared" si="8"/>
        <v>747500</v>
      </c>
      <c r="R300" s="4">
        <f t="shared" si="9"/>
        <v>230000</v>
      </c>
      <c r="U300" s="21">
        <v>45883</v>
      </c>
      <c r="X300" s="22">
        <v>45664</v>
      </c>
    </row>
    <row r="301" spans="1:24" x14ac:dyDescent="0.25">
      <c r="A301" t="s">
        <v>400</v>
      </c>
      <c r="B301" t="s">
        <v>88</v>
      </c>
      <c r="C301" t="s">
        <v>89</v>
      </c>
      <c r="D301" t="s">
        <v>31</v>
      </c>
      <c r="E301" t="s">
        <v>90</v>
      </c>
      <c r="F301" t="s">
        <v>20</v>
      </c>
      <c r="G301" t="s">
        <v>21</v>
      </c>
      <c r="H301" s="22">
        <v>45680</v>
      </c>
      <c r="I301">
        <v>184</v>
      </c>
      <c r="J301">
        <v>143</v>
      </c>
      <c r="K301">
        <v>1600</v>
      </c>
      <c r="L301">
        <v>2500</v>
      </c>
      <c r="M301">
        <v>136</v>
      </c>
      <c r="N301">
        <v>31</v>
      </c>
      <c r="O301">
        <v>19</v>
      </c>
      <c r="P301" t="s">
        <v>22</v>
      </c>
      <c r="Q301" s="4">
        <f t="shared" si="8"/>
        <v>357500</v>
      </c>
      <c r="R301" s="4">
        <f t="shared" si="9"/>
        <v>128700</v>
      </c>
      <c r="U301" s="21">
        <v>46001</v>
      </c>
      <c r="X301" s="22">
        <v>45883</v>
      </c>
    </row>
    <row r="302" spans="1:24" x14ac:dyDescent="0.25">
      <c r="Q302" s="4"/>
      <c r="R302" s="4"/>
      <c r="U302" s="21">
        <v>45874</v>
      </c>
      <c r="X302" s="22">
        <v>45942</v>
      </c>
    </row>
    <row r="303" spans="1:24" x14ac:dyDescent="0.25">
      <c r="U303" s="21">
        <v>45824</v>
      </c>
      <c r="X303" s="22">
        <v>45785</v>
      </c>
    </row>
    <row r="304" spans="1:24" x14ac:dyDescent="0.25">
      <c r="U304" s="21">
        <v>46015</v>
      </c>
      <c r="X304" s="22">
        <v>45824</v>
      </c>
    </row>
    <row r="305" spans="21:24" x14ac:dyDescent="0.25">
      <c r="U305" s="21">
        <v>45967</v>
      </c>
      <c r="X305" s="22">
        <v>46015</v>
      </c>
    </row>
    <row r="306" spans="21:24" x14ac:dyDescent="0.25">
      <c r="U306" s="21">
        <v>45987</v>
      </c>
      <c r="X306" s="22">
        <v>45819</v>
      </c>
    </row>
    <row r="307" spans="21:24" x14ac:dyDescent="0.25">
      <c r="U307" s="21">
        <v>45847</v>
      </c>
      <c r="X307" s="22">
        <v>45987</v>
      </c>
    </row>
    <row r="308" spans="21:24" x14ac:dyDescent="0.25">
      <c r="U308" s="21">
        <v>45965</v>
      </c>
      <c r="X308" s="22">
        <v>45907</v>
      </c>
    </row>
    <row r="309" spans="21:24" x14ac:dyDescent="0.25">
      <c r="U309" s="21">
        <v>45854</v>
      </c>
      <c r="X309" s="22">
        <v>45758</v>
      </c>
    </row>
    <row r="310" spans="21:24" x14ac:dyDescent="0.25">
      <c r="U310" s="21">
        <v>45793</v>
      </c>
      <c r="X310" s="22">
        <v>45854</v>
      </c>
    </row>
    <row r="311" spans="21:24" x14ac:dyDescent="0.25">
      <c r="U311" s="21">
        <v>45932</v>
      </c>
      <c r="X311" s="22">
        <v>45793</v>
      </c>
    </row>
    <row r="312" spans="21:24" x14ac:dyDescent="0.25">
      <c r="U312" s="21">
        <v>45795</v>
      </c>
      <c r="X312" s="22">
        <v>45698</v>
      </c>
    </row>
    <row r="313" spans="21:24" x14ac:dyDescent="0.25">
      <c r="U313" s="21">
        <v>45831</v>
      </c>
      <c r="X313" s="22">
        <v>45795</v>
      </c>
    </row>
    <row r="314" spans="21:24" x14ac:dyDescent="0.25">
      <c r="U314" s="21">
        <v>45792</v>
      </c>
      <c r="X314" s="22">
        <v>45831</v>
      </c>
    </row>
    <row r="315" spans="21:24" x14ac:dyDescent="0.25">
      <c r="U315" s="21">
        <v>45914</v>
      </c>
      <c r="X315" s="22">
        <v>45792</v>
      </c>
    </row>
    <row r="316" spans="21:24" x14ac:dyDescent="0.25">
      <c r="U316" s="21">
        <v>45916</v>
      </c>
      <c r="X316" s="22">
        <v>45914</v>
      </c>
    </row>
    <row r="317" spans="21:24" x14ac:dyDescent="0.25">
      <c r="U317" s="21">
        <v>45848</v>
      </c>
      <c r="X317" s="22">
        <v>45916</v>
      </c>
    </row>
    <row r="318" spans="21:24" x14ac:dyDescent="0.25">
      <c r="U318" s="21">
        <v>45865</v>
      </c>
      <c r="X318" s="22">
        <v>45937</v>
      </c>
    </row>
    <row r="319" spans="21:24" x14ac:dyDescent="0.25">
      <c r="U319" s="21">
        <v>45686</v>
      </c>
      <c r="X319" s="22">
        <v>45865</v>
      </c>
    </row>
    <row r="320" spans="21:24" x14ac:dyDescent="0.25">
      <c r="U320" s="21">
        <v>46012</v>
      </c>
      <c r="X320" s="22">
        <v>45686</v>
      </c>
    </row>
    <row r="321" spans="21:24" x14ac:dyDescent="0.25">
      <c r="U321" s="21">
        <v>45826</v>
      </c>
      <c r="X321" s="22">
        <v>46012</v>
      </c>
    </row>
    <row r="322" spans="21:24" x14ac:dyDescent="0.25">
      <c r="U322" s="21">
        <v>45853</v>
      </c>
      <c r="X322" s="22">
        <v>45826</v>
      </c>
    </row>
    <row r="323" spans="21:24" x14ac:dyDescent="0.25">
      <c r="U323" s="21">
        <v>45703</v>
      </c>
      <c r="X323" s="22">
        <v>45853</v>
      </c>
    </row>
    <row r="324" spans="21:24" x14ac:dyDescent="0.25">
      <c r="U324" s="21">
        <v>45728</v>
      </c>
      <c r="X324" s="22">
        <v>45703</v>
      </c>
    </row>
    <row r="325" spans="21:24" x14ac:dyDescent="0.25">
      <c r="U325" s="21">
        <v>45974</v>
      </c>
      <c r="X325" s="22">
        <v>45994</v>
      </c>
    </row>
    <row r="326" spans="21:24" x14ac:dyDescent="0.25">
      <c r="U326" s="21">
        <v>46009</v>
      </c>
      <c r="X326" s="22">
        <v>45974</v>
      </c>
    </row>
    <row r="327" spans="21:24" x14ac:dyDescent="0.25">
      <c r="U327" s="21">
        <v>45889</v>
      </c>
      <c r="X327" s="22">
        <v>46009</v>
      </c>
    </row>
    <row r="328" spans="21:24" x14ac:dyDescent="0.25">
      <c r="U328" s="21">
        <v>45891</v>
      </c>
      <c r="X328" s="22">
        <v>45889</v>
      </c>
    </row>
    <row r="329" spans="21:24" x14ac:dyDescent="0.25">
      <c r="U329" s="21">
        <v>45871</v>
      </c>
      <c r="X329" s="22">
        <v>45891</v>
      </c>
    </row>
    <row r="330" spans="21:24" x14ac:dyDescent="0.25">
      <c r="U330" s="21">
        <v>46008</v>
      </c>
      <c r="X330" s="22">
        <v>45696</v>
      </c>
    </row>
    <row r="331" spans="21:24" x14ac:dyDescent="0.25">
      <c r="U331" s="21">
        <v>45839</v>
      </c>
      <c r="X331" s="22">
        <v>46008</v>
      </c>
    </row>
    <row r="332" spans="21:24" x14ac:dyDescent="0.25">
      <c r="U332" s="21">
        <v>45895</v>
      </c>
      <c r="X332" s="22">
        <v>45664</v>
      </c>
    </row>
    <row r="333" spans="21:24" x14ac:dyDescent="0.25">
      <c r="U333" s="21">
        <v>45806</v>
      </c>
      <c r="X333" s="22">
        <v>45895</v>
      </c>
    </row>
    <row r="334" spans="21:24" x14ac:dyDescent="0.25">
      <c r="U334" s="21">
        <v>45730</v>
      </c>
      <c r="X334" s="22">
        <v>45806</v>
      </c>
    </row>
    <row r="335" spans="21:24" x14ac:dyDescent="0.25">
      <c r="U335" s="21">
        <v>45776</v>
      </c>
      <c r="X335" s="22">
        <v>45730</v>
      </c>
    </row>
    <row r="336" spans="21:24" x14ac:dyDescent="0.25">
      <c r="U336" s="21">
        <v>45753</v>
      </c>
      <c r="X336" s="22">
        <v>45776</v>
      </c>
    </row>
    <row r="337" spans="21:24" x14ac:dyDescent="0.25">
      <c r="U337" s="21">
        <v>45831</v>
      </c>
      <c r="X337" s="22">
        <v>45812</v>
      </c>
    </row>
    <row r="338" spans="21:24" x14ac:dyDescent="0.25">
      <c r="U338" s="21">
        <v>45718</v>
      </c>
      <c r="X338" s="22">
        <v>45831</v>
      </c>
    </row>
    <row r="339" spans="21:24" x14ac:dyDescent="0.25">
      <c r="U339" s="21">
        <v>45684</v>
      </c>
      <c r="X339" s="22">
        <v>45691</v>
      </c>
    </row>
    <row r="340" spans="21:24" x14ac:dyDescent="0.25">
      <c r="U340" s="21">
        <v>45873</v>
      </c>
      <c r="X340" s="22">
        <v>45684</v>
      </c>
    </row>
    <row r="341" spans="21:24" x14ac:dyDescent="0.25">
      <c r="U341" s="21">
        <v>45963</v>
      </c>
      <c r="X341" s="22">
        <v>45755</v>
      </c>
    </row>
    <row r="342" spans="21:24" x14ac:dyDescent="0.25">
      <c r="U342" s="21">
        <v>45910</v>
      </c>
      <c r="X342" s="22">
        <v>45699</v>
      </c>
    </row>
    <row r="343" spans="21:24" x14ac:dyDescent="0.25">
      <c r="U343" s="21">
        <v>45993</v>
      </c>
      <c r="X343" s="22">
        <v>45939</v>
      </c>
    </row>
    <row r="344" spans="21:24" x14ac:dyDescent="0.25">
      <c r="U344" s="21">
        <v>45914</v>
      </c>
      <c r="X344" s="22">
        <v>45700</v>
      </c>
    </row>
    <row r="345" spans="21:24" x14ac:dyDescent="0.25">
      <c r="U345" s="21">
        <v>45879</v>
      </c>
      <c r="X345" s="22">
        <v>45914</v>
      </c>
    </row>
    <row r="346" spans="21:24" x14ac:dyDescent="0.25">
      <c r="U346" s="21">
        <v>45790</v>
      </c>
      <c r="X346" s="22">
        <v>45938</v>
      </c>
    </row>
    <row r="347" spans="21:24" x14ac:dyDescent="0.25">
      <c r="U347" s="21">
        <v>45926</v>
      </c>
      <c r="X347" s="22">
        <v>45790</v>
      </c>
    </row>
    <row r="348" spans="21:24" x14ac:dyDescent="0.25">
      <c r="U348" s="21">
        <v>45705</v>
      </c>
      <c r="X348" s="22">
        <v>45926</v>
      </c>
    </row>
    <row r="349" spans="21:24" x14ac:dyDescent="0.25">
      <c r="U349" s="21">
        <v>45674</v>
      </c>
      <c r="X349" s="22">
        <v>45705</v>
      </c>
    </row>
    <row r="350" spans="21:24" x14ac:dyDescent="0.25">
      <c r="U350" s="21">
        <v>45887</v>
      </c>
      <c r="X350" s="22">
        <v>45674</v>
      </c>
    </row>
    <row r="351" spans="21:24" x14ac:dyDescent="0.25">
      <c r="U351" s="21">
        <v>45940</v>
      </c>
      <c r="X351" s="22">
        <v>45887</v>
      </c>
    </row>
    <row r="352" spans="21:24" x14ac:dyDescent="0.25">
      <c r="U352" s="21">
        <v>45978</v>
      </c>
      <c r="X352" s="22">
        <v>45940</v>
      </c>
    </row>
    <row r="353" spans="21:24" x14ac:dyDescent="0.25">
      <c r="U353" s="21">
        <v>45856</v>
      </c>
      <c r="X353" s="22">
        <v>45978</v>
      </c>
    </row>
    <row r="354" spans="21:24" x14ac:dyDescent="0.25">
      <c r="U354" s="21">
        <v>45988</v>
      </c>
      <c r="X354" s="22">
        <v>45856</v>
      </c>
    </row>
    <row r="355" spans="21:24" x14ac:dyDescent="0.25">
      <c r="U355" s="21">
        <v>45686</v>
      </c>
      <c r="X355" s="22">
        <v>45988</v>
      </c>
    </row>
    <row r="356" spans="21:24" x14ac:dyDescent="0.25">
      <c r="U356" s="21">
        <v>45774</v>
      </c>
      <c r="X356" s="22">
        <v>45686</v>
      </c>
    </row>
    <row r="357" spans="21:24" x14ac:dyDescent="0.25">
      <c r="U357" s="21">
        <v>45807</v>
      </c>
      <c r="X357" s="22">
        <v>45774</v>
      </c>
    </row>
    <row r="358" spans="21:24" x14ac:dyDescent="0.25">
      <c r="U358" s="21">
        <v>45896</v>
      </c>
      <c r="X358" s="22">
        <v>45807</v>
      </c>
    </row>
    <row r="359" spans="21:24" x14ac:dyDescent="0.25">
      <c r="U359" s="21">
        <v>45850</v>
      </c>
      <c r="X359" s="22">
        <v>45896</v>
      </c>
    </row>
    <row r="360" spans="21:24" x14ac:dyDescent="0.25">
      <c r="U360" s="21">
        <v>45665</v>
      </c>
      <c r="X360" s="22">
        <v>45998</v>
      </c>
    </row>
    <row r="361" spans="21:24" x14ac:dyDescent="0.25">
      <c r="U361" s="21">
        <v>45742</v>
      </c>
      <c r="X361" s="22">
        <v>45870</v>
      </c>
    </row>
    <row r="362" spans="21:24" x14ac:dyDescent="0.25">
      <c r="U362" s="21">
        <v>45968</v>
      </c>
      <c r="X362" s="22">
        <v>45742</v>
      </c>
    </row>
    <row r="363" spans="21:24" x14ac:dyDescent="0.25">
      <c r="U363" s="21">
        <v>45780</v>
      </c>
      <c r="X363" s="22">
        <v>45849</v>
      </c>
    </row>
    <row r="364" spans="21:24" x14ac:dyDescent="0.25">
      <c r="U364" s="21">
        <v>46019</v>
      </c>
      <c r="X364" s="22">
        <v>45721</v>
      </c>
    </row>
    <row r="365" spans="21:24" x14ac:dyDescent="0.25">
      <c r="U365" s="21">
        <v>45981</v>
      </c>
      <c r="X365" s="22">
        <v>46019</v>
      </c>
    </row>
    <row r="366" spans="21:24" x14ac:dyDescent="0.25">
      <c r="U366" s="21">
        <v>45934</v>
      </c>
      <c r="X366" s="22">
        <v>45981</v>
      </c>
    </row>
    <row r="367" spans="21:24" x14ac:dyDescent="0.25">
      <c r="U367" s="21">
        <v>45799</v>
      </c>
      <c r="X367" s="22">
        <v>45757</v>
      </c>
    </row>
    <row r="368" spans="21:24" x14ac:dyDescent="0.25">
      <c r="U368" s="21">
        <v>45908</v>
      </c>
      <c r="X368" s="22">
        <v>45799</v>
      </c>
    </row>
    <row r="369" spans="21:24" x14ac:dyDescent="0.25">
      <c r="U369" s="21">
        <v>45825</v>
      </c>
      <c r="X369" s="22">
        <v>45878</v>
      </c>
    </row>
    <row r="370" spans="21:24" x14ac:dyDescent="0.25">
      <c r="U370" s="21">
        <v>45866</v>
      </c>
      <c r="X370" s="22">
        <v>45825</v>
      </c>
    </row>
    <row r="371" spans="21:24" x14ac:dyDescent="0.25">
      <c r="U371" s="21">
        <v>45810</v>
      </c>
      <c r="X371" s="22">
        <v>45866</v>
      </c>
    </row>
    <row r="372" spans="21:24" x14ac:dyDescent="0.25">
      <c r="U372" s="21">
        <v>45933</v>
      </c>
      <c r="X372" s="22">
        <v>45694</v>
      </c>
    </row>
    <row r="373" spans="21:24" x14ac:dyDescent="0.25">
      <c r="U373" s="21">
        <v>45801</v>
      </c>
      <c r="X373" s="22">
        <v>45726</v>
      </c>
    </row>
    <row r="374" spans="21:24" x14ac:dyDescent="0.25">
      <c r="U374" s="21">
        <v>45778</v>
      </c>
      <c r="X374" s="22">
        <v>45801</v>
      </c>
    </row>
    <row r="375" spans="21:24" x14ac:dyDescent="0.25">
      <c r="U375" s="21">
        <v>45990</v>
      </c>
      <c r="X375" s="22">
        <v>45662</v>
      </c>
    </row>
    <row r="376" spans="21:24" x14ac:dyDescent="0.25">
      <c r="U376" s="21">
        <v>45678</v>
      </c>
      <c r="X376" s="22">
        <v>45990</v>
      </c>
    </row>
    <row r="377" spans="21:24" x14ac:dyDescent="0.25">
      <c r="U377" s="21">
        <v>45920</v>
      </c>
      <c r="X377" s="22">
        <v>45678</v>
      </c>
    </row>
    <row r="378" spans="21:24" x14ac:dyDescent="0.25">
      <c r="U378" s="21">
        <v>45846</v>
      </c>
      <c r="X378" s="22">
        <v>45920</v>
      </c>
    </row>
    <row r="379" spans="21:24" x14ac:dyDescent="0.25">
      <c r="U379" s="21">
        <v>45867</v>
      </c>
      <c r="X379" s="22">
        <v>45876</v>
      </c>
    </row>
    <row r="380" spans="21:24" x14ac:dyDescent="0.25">
      <c r="U380" s="21">
        <v>45690</v>
      </c>
      <c r="X380" s="22">
        <v>45867</v>
      </c>
    </row>
    <row r="381" spans="21:24" x14ac:dyDescent="0.25">
      <c r="U381" s="21">
        <v>46014</v>
      </c>
      <c r="X381" s="22">
        <v>45690</v>
      </c>
    </row>
    <row r="382" spans="21:24" x14ac:dyDescent="0.25">
      <c r="U382" s="21">
        <v>45665</v>
      </c>
      <c r="X382" s="22">
        <v>46014</v>
      </c>
    </row>
    <row r="383" spans="21:24" x14ac:dyDescent="0.25">
      <c r="U383" s="21">
        <v>45969</v>
      </c>
      <c r="X383" s="22">
        <v>45870</v>
      </c>
    </row>
    <row r="384" spans="21:24" x14ac:dyDescent="0.25">
      <c r="U384" s="21">
        <v>45872</v>
      </c>
      <c r="X384" s="22">
        <v>45880</v>
      </c>
    </row>
    <row r="385" spans="21:24" x14ac:dyDescent="0.25">
      <c r="U385" s="21">
        <v>45732</v>
      </c>
      <c r="X385" s="22">
        <v>45724</v>
      </c>
    </row>
    <row r="386" spans="21:24" x14ac:dyDescent="0.25">
      <c r="U386" s="21">
        <v>45995</v>
      </c>
      <c r="X386" s="22">
        <v>45732</v>
      </c>
    </row>
    <row r="387" spans="21:24" x14ac:dyDescent="0.25">
      <c r="U387" s="21">
        <v>45985</v>
      </c>
      <c r="X387" s="22">
        <v>45759</v>
      </c>
    </row>
    <row r="388" spans="21:24" x14ac:dyDescent="0.25">
      <c r="U388" s="21">
        <v>45679</v>
      </c>
      <c r="X388" s="22">
        <v>45985</v>
      </c>
    </row>
    <row r="389" spans="21:24" x14ac:dyDescent="0.25">
      <c r="U389" s="21">
        <v>45945</v>
      </c>
      <c r="X389" s="22">
        <v>45679</v>
      </c>
    </row>
    <row r="390" spans="21:24" x14ac:dyDescent="0.25">
      <c r="U390" s="21">
        <v>45990</v>
      </c>
      <c r="X390" s="22">
        <v>45945</v>
      </c>
    </row>
    <row r="391" spans="21:24" x14ac:dyDescent="0.25">
      <c r="U391" s="21">
        <v>45692</v>
      </c>
      <c r="X391" s="22">
        <v>45990</v>
      </c>
    </row>
    <row r="392" spans="21:24" x14ac:dyDescent="0.25">
      <c r="U392" s="21">
        <v>45862</v>
      </c>
      <c r="X392" s="22">
        <v>45749</v>
      </c>
    </row>
    <row r="393" spans="21:24" x14ac:dyDescent="0.25">
      <c r="U393" s="21">
        <v>45678</v>
      </c>
      <c r="X393" s="22">
        <v>45862</v>
      </c>
    </row>
    <row r="394" spans="21:24" x14ac:dyDescent="0.25">
      <c r="U394" s="21">
        <v>45669</v>
      </c>
      <c r="X394" s="22">
        <v>45678</v>
      </c>
    </row>
    <row r="395" spans="21:24" x14ac:dyDescent="0.25">
      <c r="U395" s="21">
        <v>45909</v>
      </c>
      <c r="X395" s="22">
        <v>45992</v>
      </c>
    </row>
    <row r="396" spans="21:24" x14ac:dyDescent="0.25">
      <c r="U396" s="21">
        <v>45972</v>
      </c>
      <c r="X396" s="22">
        <v>45909</v>
      </c>
    </row>
    <row r="397" spans="21:24" x14ac:dyDescent="0.25">
      <c r="U397" s="21">
        <v>46002</v>
      </c>
      <c r="X397" s="22">
        <v>45972</v>
      </c>
    </row>
    <row r="398" spans="21:24" x14ac:dyDescent="0.25">
      <c r="U398" s="21">
        <v>46005</v>
      </c>
      <c r="X398" s="22">
        <v>45973</v>
      </c>
    </row>
    <row r="399" spans="21:24" x14ac:dyDescent="0.25">
      <c r="U399" s="21">
        <v>46001</v>
      </c>
      <c r="X399" s="22">
        <v>46005</v>
      </c>
    </row>
    <row r="400" spans="21:24" x14ac:dyDescent="0.25">
      <c r="U400" s="21">
        <v>45846</v>
      </c>
      <c r="X400" s="22">
        <v>45942</v>
      </c>
    </row>
    <row r="401" spans="21:24" x14ac:dyDescent="0.25">
      <c r="U401" s="21">
        <v>45663</v>
      </c>
      <c r="X401" s="22">
        <v>45876</v>
      </c>
    </row>
    <row r="402" spans="21:24" x14ac:dyDescent="0.25">
      <c r="U402" s="21">
        <v>45771</v>
      </c>
      <c r="X402" s="22">
        <v>45809</v>
      </c>
    </row>
    <row r="403" spans="21:24" x14ac:dyDescent="0.25">
      <c r="U403" s="21">
        <v>45774</v>
      </c>
      <c r="X403" s="22">
        <v>45771</v>
      </c>
    </row>
    <row r="404" spans="21:24" x14ac:dyDescent="0.25">
      <c r="U404" s="21">
        <v>45667</v>
      </c>
      <c r="X404" s="22">
        <v>45774</v>
      </c>
    </row>
    <row r="405" spans="21:24" x14ac:dyDescent="0.25">
      <c r="U405" s="21">
        <v>45665</v>
      </c>
      <c r="X405" s="22">
        <v>45931</v>
      </c>
    </row>
    <row r="406" spans="21:24" x14ac:dyDescent="0.25">
      <c r="U406" s="21">
        <v>45793</v>
      </c>
      <c r="X406" s="22">
        <v>45870</v>
      </c>
    </row>
    <row r="407" spans="21:24" x14ac:dyDescent="0.25">
      <c r="U407" s="21">
        <v>45658</v>
      </c>
      <c r="X407" s="22">
        <v>45793</v>
      </c>
    </row>
    <row r="408" spans="21:24" x14ac:dyDescent="0.25">
      <c r="U408" s="21">
        <v>45839</v>
      </c>
      <c r="X408" s="22">
        <v>45658</v>
      </c>
    </row>
    <row r="409" spans="21:24" x14ac:dyDescent="0.25">
      <c r="U409" s="21">
        <v>45918</v>
      </c>
      <c r="X409" s="22">
        <v>45664</v>
      </c>
    </row>
    <row r="410" spans="21:24" x14ac:dyDescent="0.25">
      <c r="U410" s="21">
        <v>45998</v>
      </c>
      <c r="X410" s="22">
        <v>45918</v>
      </c>
    </row>
    <row r="411" spans="21:24" x14ac:dyDescent="0.25">
      <c r="U411" s="21">
        <v>45987</v>
      </c>
      <c r="X411" s="22">
        <v>45850</v>
      </c>
    </row>
    <row r="412" spans="21:24" x14ac:dyDescent="0.25">
      <c r="U412" s="21">
        <v>46009</v>
      </c>
      <c r="X412" s="22">
        <v>45987</v>
      </c>
    </row>
    <row r="413" spans="21:24" x14ac:dyDescent="0.25">
      <c r="U413" s="21">
        <v>45662</v>
      </c>
      <c r="X413" s="22">
        <v>46009</v>
      </c>
    </row>
    <row r="414" spans="21:24" x14ac:dyDescent="0.25">
      <c r="U414" s="21">
        <v>45826</v>
      </c>
      <c r="X414" s="22">
        <v>45778</v>
      </c>
    </row>
    <row r="415" spans="21:24" x14ac:dyDescent="0.25">
      <c r="U415" s="21">
        <v>45777</v>
      </c>
      <c r="X415" s="22">
        <v>45826</v>
      </c>
    </row>
    <row r="416" spans="21:24" x14ac:dyDescent="0.25">
      <c r="U416" s="21">
        <v>45671</v>
      </c>
      <c r="X416" s="22">
        <v>45777</v>
      </c>
    </row>
    <row r="417" spans="21:24" x14ac:dyDescent="0.25">
      <c r="U417" s="21">
        <v>46012</v>
      </c>
      <c r="X417" s="22">
        <v>45671</v>
      </c>
    </row>
    <row r="418" spans="21:24" x14ac:dyDescent="0.25">
      <c r="U418" s="21">
        <v>45760</v>
      </c>
      <c r="X418" s="22">
        <v>46012</v>
      </c>
    </row>
    <row r="419" spans="21:24" x14ac:dyDescent="0.25">
      <c r="U419" s="21">
        <v>45763</v>
      </c>
      <c r="X419" s="22">
        <v>45760</v>
      </c>
    </row>
    <row r="420" spans="21:24" x14ac:dyDescent="0.25">
      <c r="U420" s="21">
        <v>45903</v>
      </c>
      <c r="X420" s="22">
        <v>45763</v>
      </c>
    </row>
    <row r="421" spans="21:24" x14ac:dyDescent="0.25">
      <c r="U421" s="21">
        <v>45996</v>
      </c>
      <c r="X421" s="22">
        <v>45725</v>
      </c>
    </row>
    <row r="422" spans="21:24" x14ac:dyDescent="0.25">
      <c r="U422" s="21">
        <v>45869</v>
      </c>
      <c r="X422" s="22">
        <v>45789</v>
      </c>
    </row>
    <row r="423" spans="21:24" x14ac:dyDescent="0.25">
      <c r="U423" s="21">
        <v>45704</v>
      </c>
      <c r="X423" s="22">
        <v>45869</v>
      </c>
    </row>
    <row r="424" spans="21:24" x14ac:dyDescent="0.25">
      <c r="U424" s="21">
        <v>45836</v>
      </c>
      <c r="X424" s="22">
        <v>45704</v>
      </c>
    </row>
    <row r="425" spans="21:24" x14ac:dyDescent="0.25">
      <c r="U425" s="21">
        <v>45953</v>
      </c>
      <c r="X425" s="22">
        <v>45836</v>
      </c>
    </row>
    <row r="426" spans="21:24" x14ac:dyDescent="0.25">
      <c r="U426" s="21">
        <v>46014</v>
      </c>
      <c r="X426" s="22">
        <v>45953</v>
      </c>
    </row>
    <row r="427" spans="21:24" x14ac:dyDescent="0.25">
      <c r="U427" s="21">
        <v>45988</v>
      </c>
      <c r="X427" s="22">
        <v>46014</v>
      </c>
    </row>
    <row r="428" spans="21:24" x14ac:dyDescent="0.25">
      <c r="U428" s="21">
        <v>45893</v>
      </c>
      <c r="X428" s="22">
        <v>45988</v>
      </c>
    </row>
    <row r="429" spans="21:24" x14ac:dyDescent="0.25">
      <c r="U429" s="21">
        <v>45744</v>
      </c>
      <c r="X429" s="22">
        <v>45893</v>
      </c>
    </row>
    <row r="430" spans="21:24" x14ac:dyDescent="0.25">
      <c r="U430" s="21">
        <v>45794</v>
      </c>
      <c r="X430" s="22">
        <v>45744</v>
      </c>
    </row>
    <row r="431" spans="21:24" x14ac:dyDescent="0.25">
      <c r="U431" s="21">
        <v>45740</v>
      </c>
      <c r="X431" s="22">
        <v>45794</v>
      </c>
    </row>
    <row r="432" spans="21:24" x14ac:dyDescent="0.25">
      <c r="U432" s="21">
        <v>45735</v>
      </c>
      <c r="X432" s="22">
        <v>45740</v>
      </c>
    </row>
    <row r="433" spans="21:24" x14ac:dyDescent="0.25">
      <c r="U433" s="21">
        <v>45856</v>
      </c>
      <c r="X433" s="22">
        <v>45735</v>
      </c>
    </row>
    <row r="434" spans="21:24" x14ac:dyDescent="0.25">
      <c r="U434" s="21">
        <v>45730</v>
      </c>
      <c r="X434" s="22">
        <v>45856</v>
      </c>
    </row>
    <row r="435" spans="21:24" x14ac:dyDescent="0.25">
      <c r="U435" s="21">
        <v>45775</v>
      </c>
      <c r="X435" s="22">
        <v>45730</v>
      </c>
    </row>
    <row r="436" spans="21:24" x14ac:dyDescent="0.25">
      <c r="U436" s="21">
        <v>45791</v>
      </c>
      <c r="X436" s="22">
        <v>45775</v>
      </c>
    </row>
    <row r="437" spans="21:24" x14ac:dyDescent="0.25">
      <c r="U437" s="21">
        <v>45786</v>
      </c>
      <c r="X437" s="22">
        <v>45791</v>
      </c>
    </row>
    <row r="438" spans="21:24" x14ac:dyDescent="0.25">
      <c r="U438" s="21">
        <v>45908</v>
      </c>
      <c r="X438" s="22">
        <v>45905</v>
      </c>
    </row>
    <row r="439" spans="21:24" x14ac:dyDescent="0.25">
      <c r="U439" s="21">
        <v>45709</v>
      </c>
      <c r="X439" s="22">
        <v>45878</v>
      </c>
    </row>
    <row r="440" spans="21:24" x14ac:dyDescent="0.25">
      <c r="U440" s="21">
        <v>45868</v>
      </c>
      <c r="X440" s="22">
        <v>45709</v>
      </c>
    </row>
    <row r="441" spans="21:24" x14ac:dyDescent="0.25">
      <c r="U441" s="21">
        <v>45984</v>
      </c>
      <c r="X441" s="22">
        <v>45868</v>
      </c>
    </row>
    <row r="442" spans="21:24" x14ac:dyDescent="0.25">
      <c r="U442" s="21">
        <v>45979</v>
      </c>
      <c r="X442" s="22">
        <v>45984</v>
      </c>
    </row>
    <row r="443" spans="21:24" x14ac:dyDescent="0.25">
      <c r="U443" s="21">
        <v>45858</v>
      </c>
      <c r="X443" s="22">
        <v>45979</v>
      </c>
    </row>
    <row r="444" spans="21:24" x14ac:dyDescent="0.25">
      <c r="U444" s="21">
        <v>45732</v>
      </c>
      <c r="X444" s="22">
        <v>45858</v>
      </c>
    </row>
    <row r="445" spans="21:24" x14ac:dyDescent="0.25">
      <c r="U445" s="21">
        <v>45775</v>
      </c>
      <c r="X445" s="22">
        <v>45732</v>
      </c>
    </row>
    <row r="446" spans="21:24" x14ac:dyDescent="0.25">
      <c r="U446" s="21">
        <v>45700</v>
      </c>
      <c r="X446" s="22">
        <v>45775</v>
      </c>
    </row>
    <row r="447" spans="21:24" x14ac:dyDescent="0.25">
      <c r="U447" s="21">
        <v>45813</v>
      </c>
      <c r="X447" s="22">
        <v>45993</v>
      </c>
    </row>
    <row r="448" spans="21:24" x14ac:dyDescent="0.25">
      <c r="U448" s="21">
        <v>45982</v>
      </c>
      <c r="X448" s="22">
        <v>45783</v>
      </c>
    </row>
    <row r="449" spans="21:24" x14ac:dyDescent="0.25">
      <c r="U449" s="21">
        <v>45954</v>
      </c>
      <c r="X449" s="22">
        <v>45982</v>
      </c>
    </row>
    <row r="450" spans="21:24" x14ac:dyDescent="0.25">
      <c r="U450" s="21">
        <v>45667</v>
      </c>
      <c r="X450" s="22">
        <v>45954</v>
      </c>
    </row>
    <row r="451" spans="21:24" x14ac:dyDescent="0.25">
      <c r="U451" s="21">
        <v>46012</v>
      </c>
      <c r="X451" s="22">
        <v>45931</v>
      </c>
    </row>
    <row r="452" spans="21:24" x14ac:dyDescent="0.25">
      <c r="U452" s="21">
        <v>45793</v>
      </c>
      <c r="X452" s="22">
        <v>46012</v>
      </c>
    </row>
    <row r="453" spans="21:24" x14ac:dyDescent="0.25">
      <c r="U453" s="21">
        <v>46016</v>
      </c>
      <c r="X453" s="22">
        <v>45793</v>
      </c>
    </row>
    <row r="454" spans="21:24" x14ac:dyDescent="0.25">
      <c r="U454" s="21">
        <v>45897</v>
      </c>
      <c r="X454" s="22">
        <v>46016</v>
      </c>
    </row>
    <row r="455" spans="21:24" x14ac:dyDescent="0.25">
      <c r="U455" s="21">
        <v>46004</v>
      </c>
      <c r="X455" s="22">
        <v>45897</v>
      </c>
    </row>
    <row r="456" spans="21:24" x14ac:dyDescent="0.25">
      <c r="U456" s="21">
        <v>45919</v>
      </c>
      <c r="X456" s="22">
        <v>46004</v>
      </c>
    </row>
    <row r="457" spans="21:24" x14ac:dyDescent="0.25">
      <c r="U457" s="21">
        <v>45995</v>
      </c>
      <c r="X457" s="22">
        <v>45919</v>
      </c>
    </row>
    <row r="458" spans="21:24" x14ac:dyDescent="0.25">
      <c r="U458" s="21">
        <v>45833</v>
      </c>
      <c r="X458" s="22">
        <v>45759</v>
      </c>
    </row>
    <row r="459" spans="21:24" x14ac:dyDescent="0.25">
      <c r="U459" s="21">
        <v>45915</v>
      </c>
      <c r="X459" s="22">
        <v>45833</v>
      </c>
    </row>
    <row r="460" spans="21:24" x14ac:dyDescent="0.25">
      <c r="U460" s="21">
        <v>45722</v>
      </c>
      <c r="X460" s="22">
        <v>45915</v>
      </c>
    </row>
    <row r="461" spans="21:24" x14ac:dyDescent="0.25">
      <c r="U461" s="21">
        <v>45862</v>
      </c>
      <c r="X461" s="22">
        <v>45811</v>
      </c>
    </row>
    <row r="462" spans="21:24" x14ac:dyDescent="0.25">
      <c r="U462" s="21">
        <v>45914</v>
      </c>
      <c r="X462" s="22">
        <v>45862</v>
      </c>
    </row>
    <row r="463" spans="21:24" x14ac:dyDescent="0.25">
      <c r="U463" s="21">
        <v>45820</v>
      </c>
      <c r="X463" s="22">
        <v>45914</v>
      </c>
    </row>
    <row r="464" spans="21:24" x14ac:dyDescent="0.25">
      <c r="U464" s="21">
        <v>45875</v>
      </c>
      <c r="X464" s="22">
        <v>45997</v>
      </c>
    </row>
    <row r="465" spans="21:24" x14ac:dyDescent="0.25">
      <c r="U465" s="21">
        <v>46000</v>
      </c>
      <c r="X465" s="22">
        <v>45816</v>
      </c>
    </row>
    <row r="466" spans="21:24" x14ac:dyDescent="0.25">
      <c r="U466" s="21">
        <v>45886</v>
      </c>
      <c r="X466" s="22">
        <v>45912</v>
      </c>
    </row>
    <row r="467" spans="21:24" x14ac:dyDescent="0.25">
      <c r="U467" s="21">
        <v>45879</v>
      </c>
      <c r="X467" s="22">
        <v>45886</v>
      </c>
    </row>
    <row r="468" spans="21:24" x14ac:dyDescent="0.25">
      <c r="U468" s="21">
        <v>46008</v>
      </c>
      <c r="X468" s="22">
        <v>45938</v>
      </c>
    </row>
    <row r="469" spans="21:24" x14ac:dyDescent="0.25">
      <c r="U469" s="21">
        <v>45888</v>
      </c>
      <c r="X469" s="22">
        <v>46008</v>
      </c>
    </row>
    <row r="470" spans="21:24" x14ac:dyDescent="0.25">
      <c r="U470" s="21">
        <v>45979</v>
      </c>
      <c r="X470" s="22">
        <v>45888</v>
      </c>
    </row>
    <row r="471" spans="21:24" x14ac:dyDescent="0.25">
      <c r="U471" s="21">
        <v>45689</v>
      </c>
      <c r="X471" s="22">
        <v>45979</v>
      </c>
    </row>
    <row r="472" spans="21:24" x14ac:dyDescent="0.25">
      <c r="U472" s="21">
        <v>45967</v>
      </c>
      <c r="X472" s="22">
        <v>45659</v>
      </c>
    </row>
    <row r="473" spans="21:24" x14ac:dyDescent="0.25">
      <c r="U473" s="21">
        <v>45980</v>
      </c>
      <c r="X473" s="22">
        <v>45819</v>
      </c>
    </row>
    <row r="474" spans="21:24" x14ac:dyDescent="0.25">
      <c r="U474" s="21">
        <v>45659</v>
      </c>
      <c r="X474" s="22">
        <v>45980</v>
      </c>
    </row>
    <row r="475" spans="21:24" x14ac:dyDescent="0.25">
      <c r="U475" s="21">
        <v>45843</v>
      </c>
      <c r="X475" s="22">
        <v>45689</v>
      </c>
    </row>
    <row r="476" spans="21:24" x14ac:dyDescent="0.25">
      <c r="U476" s="21">
        <v>45792</v>
      </c>
      <c r="X476" s="22">
        <v>45784</v>
      </c>
    </row>
    <row r="477" spans="21:24" x14ac:dyDescent="0.25">
      <c r="U477" s="21">
        <v>45798</v>
      </c>
      <c r="X477" s="22">
        <v>45792</v>
      </c>
    </row>
    <row r="478" spans="21:24" x14ac:dyDescent="0.25">
      <c r="U478" s="21">
        <v>45777</v>
      </c>
      <c r="X478" s="22">
        <v>45798</v>
      </c>
    </row>
    <row r="479" spans="21:24" x14ac:dyDescent="0.25">
      <c r="U479" s="21">
        <v>45855</v>
      </c>
      <c r="X479" s="22">
        <v>45777</v>
      </c>
    </row>
    <row r="480" spans="21:24" x14ac:dyDescent="0.25">
      <c r="U480" s="21">
        <v>45925</v>
      </c>
      <c r="X480" s="22">
        <v>45855</v>
      </c>
    </row>
    <row r="481" spans="21:24" x14ac:dyDescent="0.25">
      <c r="U481" s="21">
        <v>46016</v>
      </c>
      <c r="X481" s="22">
        <v>45925</v>
      </c>
    </row>
    <row r="482" spans="21:24" x14ac:dyDescent="0.25">
      <c r="U482" s="21">
        <v>45968</v>
      </c>
      <c r="X482" s="22">
        <v>46016</v>
      </c>
    </row>
    <row r="483" spans="21:24" x14ac:dyDescent="0.25">
      <c r="U483" s="21">
        <v>45923</v>
      </c>
      <c r="X483" s="22">
        <v>45849</v>
      </c>
    </row>
    <row r="484" spans="21:24" x14ac:dyDescent="0.25">
      <c r="U484" s="21">
        <v>45791</v>
      </c>
      <c r="X484" s="22">
        <v>45923</v>
      </c>
    </row>
    <row r="485" spans="21:24" x14ac:dyDescent="0.25">
      <c r="U485" s="21">
        <v>45831</v>
      </c>
      <c r="X485" s="22">
        <v>45791</v>
      </c>
    </row>
    <row r="486" spans="21:24" x14ac:dyDescent="0.25">
      <c r="U486" s="21">
        <v>45690</v>
      </c>
      <c r="X486" s="22">
        <v>45831</v>
      </c>
    </row>
    <row r="487" spans="21:24" x14ac:dyDescent="0.25">
      <c r="U487" s="21">
        <v>45751</v>
      </c>
      <c r="X487" s="22">
        <v>45690</v>
      </c>
    </row>
    <row r="488" spans="21:24" x14ac:dyDescent="0.25">
      <c r="U488" s="21">
        <v>45996</v>
      </c>
      <c r="X488" s="22">
        <v>45751</v>
      </c>
    </row>
    <row r="489" spans="21:24" x14ac:dyDescent="0.25">
      <c r="U489" s="21">
        <v>45732</v>
      </c>
      <c r="X489" s="22">
        <v>45789</v>
      </c>
    </row>
    <row r="490" spans="21:24" x14ac:dyDescent="0.25">
      <c r="U490" s="21">
        <v>45823</v>
      </c>
      <c r="X490" s="22">
        <v>45732</v>
      </c>
    </row>
    <row r="491" spans="21:24" x14ac:dyDescent="0.25">
      <c r="U491" s="21">
        <v>45731</v>
      </c>
      <c r="X491" s="22">
        <v>45823</v>
      </c>
    </row>
    <row r="492" spans="21:24" x14ac:dyDescent="0.25">
      <c r="U492" s="21">
        <v>45974</v>
      </c>
      <c r="X492" s="22">
        <v>45731</v>
      </c>
    </row>
    <row r="493" spans="21:24" x14ac:dyDescent="0.25">
      <c r="U493" s="21">
        <v>45889</v>
      </c>
      <c r="X493" s="22">
        <v>45974</v>
      </c>
    </row>
    <row r="494" spans="21:24" x14ac:dyDescent="0.25">
      <c r="U494" s="21">
        <v>45687</v>
      </c>
      <c r="X494" s="22">
        <v>45889</v>
      </c>
    </row>
    <row r="495" spans="21:24" x14ac:dyDescent="0.25">
      <c r="U495" s="21">
        <v>45868</v>
      </c>
      <c r="X495" s="22">
        <v>45687</v>
      </c>
    </row>
    <row r="496" spans="21:24" x14ac:dyDescent="0.25">
      <c r="U496" s="21">
        <v>45909</v>
      </c>
      <c r="X496" s="22">
        <v>45868</v>
      </c>
    </row>
    <row r="497" spans="21:24" x14ac:dyDescent="0.25">
      <c r="U497" s="21">
        <v>45804</v>
      </c>
      <c r="X497" s="22">
        <v>45909</v>
      </c>
    </row>
    <row r="498" spans="21:24" x14ac:dyDescent="0.25">
      <c r="U498" s="21">
        <v>45857</v>
      </c>
      <c r="X498" s="22">
        <v>45804</v>
      </c>
    </row>
    <row r="499" spans="21:24" x14ac:dyDescent="0.25">
      <c r="U499" s="21">
        <v>45919</v>
      </c>
      <c r="X499" s="22">
        <v>45857</v>
      </c>
    </row>
    <row r="500" spans="21:24" x14ac:dyDescent="0.25">
      <c r="U500" s="21">
        <v>45867</v>
      </c>
      <c r="X500" s="22">
        <v>45919</v>
      </c>
    </row>
    <row r="501" spans="21:24" x14ac:dyDescent="0.25">
      <c r="U501" s="21">
        <v>45965</v>
      </c>
      <c r="X501" s="22">
        <v>45867</v>
      </c>
    </row>
    <row r="502" spans="21:24" x14ac:dyDescent="0.25">
      <c r="U502" s="21">
        <v>45956</v>
      </c>
      <c r="X502" s="22">
        <v>45758</v>
      </c>
    </row>
    <row r="503" spans="21:24" x14ac:dyDescent="0.25">
      <c r="U503" s="21">
        <v>45829</v>
      </c>
      <c r="X503" s="22">
        <v>45956</v>
      </c>
    </row>
    <row r="504" spans="21:24" x14ac:dyDescent="0.25">
      <c r="U504" s="21">
        <v>45874</v>
      </c>
      <c r="X504" s="22">
        <v>45829</v>
      </c>
    </row>
    <row r="505" spans="21:24" x14ac:dyDescent="0.25">
      <c r="U505" s="21">
        <v>45922</v>
      </c>
      <c r="X505" s="22">
        <v>45785</v>
      </c>
    </row>
    <row r="506" spans="21:24" x14ac:dyDescent="0.25">
      <c r="U506" s="21">
        <v>45807</v>
      </c>
      <c r="X506" s="22">
        <v>45922</v>
      </c>
    </row>
    <row r="507" spans="21:24" x14ac:dyDescent="0.25">
      <c r="U507" s="21">
        <v>45703</v>
      </c>
      <c r="X507" s="22">
        <v>45807</v>
      </c>
    </row>
    <row r="508" spans="21:24" x14ac:dyDescent="0.25">
      <c r="U508" s="21">
        <v>46015</v>
      </c>
      <c r="X508" s="22">
        <v>45703</v>
      </c>
    </row>
    <row r="509" spans="21:24" x14ac:dyDescent="0.25">
      <c r="U509" s="21">
        <v>45837</v>
      </c>
      <c r="X509" s="22">
        <v>46015</v>
      </c>
    </row>
    <row r="510" spans="21:24" x14ac:dyDescent="0.25">
      <c r="U510" s="21">
        <v>45714</v>
      </c>
      <c r="X510" s="22">
        <v>45837</v>
      </c>
    </row>
    <row r="511" spans="21:24" x14ac:dyDescent="0.25">
      <c r="U511" s="21">
        <v>45912</v>
      </c>
      <c r="X511" s="22">
        <v>45714</v>
      </c>
    </row>
    <row r="512" spans="21:24" x14ac:dyDescent="0.25">
      <c r="U512" s="21">
        <v>45860</v>
      </c>
      <c r="X512" s="22">
        <v>46000</v>
      </c>
    </row>
    <row r="513" spans="21:24" x14ac:dyDescent="0.25">
      <c r="U513" s="21">
        <v>45863</v>
      </c>
      <c r="X513" s="22">
        <v>45860</v>
      </c>
    </row>
    <row r="514" spans="21:24" x14ac:dyDescent="0.25">
      <c r="U514" s="21">
        <v>45820</v>
      </c>
      <c r="X514" s="22">
        <v>45863</v>
      </c>
    </row>
    <row r="515" spans="21:24" x14ac:dyDescent="0.25">
      <c r="U515" s="21">
        <v>45916</v>
      </c>
      <c r="X515" s="22">
        <v>45997</v>
      </c>
    </row>
    <row r="516" spans="21:24" x14ac:dyDescent="0.25">
      <c r="U516" s="21">
        <v>45675</v>
      </c>
      <c r="X516" s="22">
        <v>45916</v>
      </c>
    </row>
    <row r="517" spans="21:24" x14ac:dyDescent="0.25">
      <c r="U517" s="21">
        <v>45905</v>
      </c>
      <c r="X517" s="22">
        <v>45675</v>
      </c>
    </row>
    <row r="518" spans="21:24" x14ac:dyDescent="0.25">
      <c r="U518" s="21">
        <v>45835</v>
      </c>
      <c r="X518" s="22">
        <v>45786</v>
      </c>
    </row>
    <row r="519" spans="21:24" x14ac:dyDescent="0.25">
      <c r="U519" s="21">
        <v>45883</v>
      </c>
      <c r="X519" s="22">
        <v>45835</v>
      </c>
    </row>
    <row r="520" spans="21:24" x14ac:dyDescent="0.25">
      <c r="U520" s="21">
        <v>45702</v>
      </c>
      <c r="X520" s="22">
        <v>45883</v>
      </c>
    </row>
    <row r="521" spans="21:24" x14ac:dyDescent="0.25">
      <c r="U521" s="21">
        <v>45879</v>
      </c>
      <c r="X521" s="22">
        <v>45702</v>
      </c>
    </row>
    <row r="522" spans="21:24" x14ac:dyDescent="0.25">
      <c r="U522" s="21">
        <v>45673</v>
      </c>
      <c r="X522" s="22">
        <v>45938</v>
      </c>
    </row>
    <row r="523" spans="21:24" x14ac:dyDescent="0.25">
      <c r="U523" s="21">
        <v>45741</v>
      </c>
      <c r="X523" s="22">
        <v>45673</v>
      </c>
    </row>
    <row r="524" spans="21:24" x14ac:dyDescent="0.25">
      <c r="U524" s="21">
        <v>45992</v>
      </c>
      <c r="X524" s="22">
        <v>45741</v>
      </c>
    </row>
    <row r="525" spans="21:24" x14ac:dyDescent="0.25">
      <c r="U525" s="21">
        <v>45883</v>
      </c>
      <c r="X525" s="22">
        <v>45669</v>
      </c>
    </row>
    <row r="526" spans="21:24" x14ac:dyDescent="0.25">
      <c r="U526" s="21">
        <v>45912</v>
      </c>
      <c r="X526" s="22">
        <v>45883</v>
      </c>
    </row>
    <row r="527" spans="21:24" x14ac:dyDescent="0.25">
      <c r="U527" s="21">
        <v>45980</v>
      </c>
      <c r="X527" s="22">
        <v>46000</v>
      </c>
    </row>
    <row r="528" spans="21:24" x14ac:dyDescent="0.25">
      <c r="U528" s="21">
        <v>45950</v>
      </c>
      <c r="X528" s="22">
        <v>45980</v>
      </c>
    </row>
    <row r="529" spans="21:24" x14ac:dyDescent="0.25">
      <c r="U529" s="21">
        <v>45838</v>
      </c>
      <c r="X529" s="22">
        <v>45950</v>
      </c>
    </row>
    <row r="530" spans="21:24" x14ac:dyDescent="0.25">
      <c r="U530" s="21">
        <v>45852</v>
      </c>
      <c r="X530" s="22">
        <v>45838</v>
      </c>
    </row>
    <row r="531" spans="21:24" x14ac:dyDescent="0.25">
      <c r="U531" s="21">
        <v>45955</v>
      </c>
      <c r="X531" s="22">
        <v>45852</v>
      </c>
    </row>
    <row r="532" spans="21:24" x14ac:dyDescent="0.25">
      <c r="U532" s="21">
        <v>45671</v>
      </c>
      <c r="X532" s="22">
        <v>45955</v>
      </c>
    </row>
    <row r="533" spans="21:24" x14ac:dyDescent="0.25">
      <c r="U533" s="21">
        <v>45857</v>
      </c>
      <c r="X533" s="22">
        <v>45671</v>
      </c>
    </row>
    <row r="534" spans="21:24" x14ac:dyDescent="0.25">
      <c r="U534" s="21">
        <v>45708</v>
      </c>
      <c r="X534" s="22">
        <v>45857</v>
      </c>
    </row>
    <row r="535" spans="21:24" x14ac:dyDescent="0.25">
      <c r="U535" s="21">
        <v>45847</v>
      </c>
      <c r="X535" s="22">
        <v>45708</v>
      </c>
    </row>
    <row r="536" spans="21:24" x14ac:dyDescent="0.25">
      <c r="U536" s="21">
        <v>45997</v>
      </c>
      <c r="X536" s="22">
        <v>45907</v>
      </c>
    </row>
    <row r="537" spans="21:24" x14ac:dyDescent="0.25">
      <c r="U537" s="21">
        <v>45981</v>
      </c>
      <c r="X537" s="22">
        <v>45820</v>
      </c>
    </row>
    <row r="538" spans="21:24" x14ac:dyDescent="0.25">
      <c r="U538" s="21">
        <v>45688</v>
      </c>
      <c r="X538" s="22">
        <v>45981</v>
      </c>
    </row>
    <row r="539" spans="21:24" x14ac:dyDescent="0.25">
      <c r="U539" s="21">
        <v>45689</v>
      </c>
      <c r="X539" s="22">
        <v>45688</v>
      </c>
    </row>
    <row r="540" spans="21:24" x14ac:dyDescent="0.25">
      <c r="U540" s="21">
        <v>46000</v>
      </c>
      <c r="X540" s="22">
        <v>45659</v>
      </c>
    </row>
    <row r="541" spans="21:24" x14ac:dyDescent="0.25">
      <c r="U541" s="21">
        <v>45868</v>
      </c>
      <c r="X541" s="22">
        <v>45912</v>
      </c>
    </row>
    <row r="542" spans="21:24" x14ac:dyDescent="0.25">
      <c r="U542" s="21">
        <v>45871</v>
      </c>
      <c r="X542" s="22">
        <v>45868</v>
      </c>
    </row>
    <row r="543" spans="21:24" x14ac:dyDescent="0.25">
      <c r="U543" s="21">
        <v>45731</v>
      </c>
      <c r="X543" s="22">
        <v>45696</v>
      </c>
    </row>
    <row r="544" spans="21:24" x14ac:dyDescent="0.25">
      <c r="U544" s="21">
        <v>45836</v>
      </c>
      <c r="X544" s="22">
        <v>45731</v>
      </c>
    </row>
    <row r="545" spans="21:24" x14ac:dyDescent="0.25">
      <c r="U545" s="21">
        <v>45883</v>
      </c>
      <c r="X545" s="22">
        <v>45836</v>
      </c>
    </row>
    <row r="546" spans="21:24" x14ac:dyDescent="0.25">
      <c r="U546" s="21">
        <v>45891</v>
      </c>
      <c r="X546" s="22">
        <v>45883</v>
      </c>
    </row>
    <row r="547" spans="21:24" x14ac:dyDescent="0.25">
      <c r="U547" s="21">
        <v>46003</v>
      </c>
      <c r="X547" s="22">
        <v>45891</v>
      </c>
    </row>
    <row r="548" spans="21:24" x14ac:dyDescent="0.25">
      <c r="U548" s="21">
        <v>45702</v>
      </c>
      <c r="X548" s="22">
        <v>46003</v>
      </c>
    </row>
    <row r="549" spans="21:24" x14ac:dyDescent="0.25">
      <c r="U549" s="21">
        <v>45716</v>
      </c>
      <c r="X549" s="22">
        <v>45702</v>
      </c>
    </row>
    <row r="550" spans="21:24" x14ac:dyDescent="0.25">
      <c r="U550" s="21">
        <v>45971</v>
      </c>
      <c r="X550" s="22">
        <v>45716</v>
      </c>
    </row>
    <row r="551" spans="21:24" x14ac:dyDescent="0.25">
      <c r="U551" s="21">
        <v>45850</v>
      </c>
      <c r="X551" s="22">
        <v>45941</v>
      </c>
    </row>
    <row r="552" spans="21:24" x14ac:dyDescent="0.25">
      <c r="U552" s="21">
        <v>46001</v>
      </c>
      <c r="X552" s="22">
        <v>45998</v>
      </c>
    </row>
    <row r="553" spans="21:24" x14ac:dyDescent="0.25">
      <c r="U553" s="21">
        <v>45694</v>
      </c>
      <c r="X553" s="22">
        <v>45942</v>
      </c>
    </row>
    <row r="554" spans="21:24" x14ac:dyDescent="0.25">
      <c r="U554" s="21">
        <v>45958</v>
      </c>
      <c r="X554" s="22">
        <v>45810</v>
      </c>
    </row>
    <row r="555" spans="21:24" x14ac:dyDescent="0.25">
      <c r="U555" s="21">
        <v>45787</v>
      </c>
      <c r="X555" s="22">
        <v>45958</v>
      </c>
    </row>
    <row r="556" spans="21:24" x14ac:dyDescent="0.25">
      <c r="U556" s="21">
        <v>46013</v>
      </c>
      <c r="X556" s="22">
        <v>45935</v>
      </c>
    </row>
    <row r="557" spans="21:24" x14ac:dyDescent="0.25">
      <c r="U557" s="21">
        <v>45914</v>
      </c>
      <c r="X557" s="22">
        <v>46013</v>
      </c>
    </row>
    <row r="558" spans="21:24" x14ac:dyDescent="0.25">
      <c r="U558" s="21">
        <v>45802</v>
      </c>
      <c r="X558" s="22">
        <v>45914</v>
      </c>
    </row>
    <row r="559" spans="21:24" x14ac:dyDescent="0.25">
      <c r="U559" s="21">
        <v>46005</v>
      </c>
      <c r="X559" s="22">
        <v>45802</v>
      </c>
    </row>
    <row r="560" spans="21:24" x14ac:dyDescent="0.25">
      <c r="U560" s="21">
        <v>45838</v>
      </c>
      <c r="X560" s="22">
        <v>46005</v>
      </c>
    </row>
    <row r="561" spans="21:24" x14ac:dyDescent="0.25">
      <c r="U561" s="21">
        <v>45678</v>
      </c>
      <c r="X561" s="22">
        <v>45838</v>
      </c>
    </row>
    <row r="562" spans="21:24" x14ac:dyDescent="0.25">
      <c r="U562" s="21">
        <v>45980</v>
      </c>
      <c r="X562" s="22">
        <v>45678</v>
      </c>
    </row>
    <row r="563" spans="21:24" x14ac:dyDescent="0.25">
      <c r="U563" s="21">
        <v>45658</v>
      </c>
      <c r="X563" s="22">
        <v>45980</v>
      </c>
    </row>
    <row r="564" spans="21:24" x14ac:dyDescent="0.25">
      <c r="U564" s="21">
        <v>45677</v>
      </c>
      <c r="X564" s="22">
        <v>45658</v>
      </c>
    </row>
    <row r="565" spans="21:24" x14ac:dyDescent="0.25">
      <c r="U565" s="21">
        <v>46002</v>
      </c>
      <c r="X565" s="22">
        <v>45677</v>
      </c>
    </row>
    <row r="566" spans="21:24" x14ac:dyDescent="0.25">
      <c r="U566" s="21">
        <v>46012</v>
      </c>
      <c r="X566" s="22">
        <v>45973</v>
      </c>
    </row>
    <row r="567" spans="21:24" x14ac:dyDescent="0.25">
      <c r="U567" s="21">
        <v>45680</v>
      </c>
      <c r="X567" s="22">
        <v>46012</v>
      </c>
    </row>
    <row r="568" spans="21:24" x14ac:dyDescent="0.25">
      <c r="X568" s="22">
        <v>45680</v>
      </c>
    </row>
  </sheetData>
  <conditionalFormatting sqref="A2:A301">
    <cfRule type="duplicateValues" dxfId="0" priority="1"/>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Messy Raw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2026-09-06T09:25:09Z</dcterms:created>
  <dcterms:modified xsi:type="dcterms:W3CDTF">2026-09-12T06:14:08Z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4</vt:i4>
  </property>
</Properties>
</file>